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Financial Summary" sheetId="1" state="visible" r:id="rId1"/>
    <sheet xmlns:r="http://schemas.openxmlformats.org/officeDocument/2006/relationships" name="General Ledger &amp; Data Entry" sheetId="2" state="visible" r:id="rId2"/>
    <sheet xmlns:r="http://schemas.openxmlformats.org/officeDocument/2006/relationships" name="Bank &amp; Expense Reconcili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;($#,##0.00);&quot;-&quot;"/>
    <numFmt numFmtId="165" formatCode="$#,##0.00;($#,##0.00);&quot;$0.00&quot;"/>
    <numFmt numFmtId="166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95959"/>
      <sz val="11"/>
    </font>
    <font>
      <name val="Calibri"/>
      <b val="1"/>
      <sz val="11"/>
    </font>
    <font>
      <name val="Calibri"/>
      <b val="1"/>
      <color rgb="00276A3C"/>
      <sz val="11"/>
    </font>
    <font>
      <name val="Calibri"/>
      <b val="1"/>
      <color rgb="001B365D"/>
      <sz val="11"/>
    </font>
    <font>
      <name val="Calibri"/>
      <b val="1"/>
      <color rgb="00FFFFFF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E2F0D9"/>
        <bgColor rgb="00E2F0D9"/>
      </patternFill>
    </fill>
    <fill>
      <patternFill patternType="solid">
        <fgColor rgb="00E8EEF5"/>
        <bgColor rgb="00E8EEF5"/>
      </patternFill>
    </fill>
    <fill>
      <patternFill patternType="solid">
        <fgColor rgb="001B365D"/>
        <bgColor rgb="001B365D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top style="thin">
        <color rgb="00000000"/>
      </top>
      <bottom style="double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5" fillId="3" borderId="0" pivotButton="0" quotePrefix="0" xfId="0"/>
    <xf numFmtId="0" fontId="6" fillId="4" borderId="0" applyAlignment="1" pivotButton="0" quotePrefix="0" xfId="0">
      <alignment horizontal="left"/>
    </xf>
    <xf numFmtId="0" fontId="6" fillId="4" borderId="0" applyAlignment="1" pivotButton="0" quotePrefix="0" xfId="0">
      <alignment horizontal="right"/>
    </xf>
    <xf numFmtId="0" fontId="6" fillId="4" borderId="0" applyAlignment="1" pivotButton="0" quotePrefix="0" xfId="0">
      <alignment horizontal="center"/>
    </xf>
    <xf numFmtId="0" fontId="7" fillId="0" borderId="0" pivotButton="0" quotePrefix="0" xfId="0"/>
    <xf numFmtId="164" fontId="7" fillId="0" borderId="0" pivotButton="0" quotePrefix="0" xfId="0"/>
    <xf numFmtId="0" fontId="7" fillId="0" borderId="2" pivotButton="0" quotePrefix="0" xfId="0"/>
    <xf numFmtId="165" fontId="3" fillId="0" borderId="2" applyAlignment="1" pivotButton="0" quotePrefix="0" xfId="0">
      <alignment horizontal="right"/>
    </xf>
    <xf numFmtId="0" fontId="4" fillId="2" borderId="2" applyAlignment="1" pivotButton="0" quotePrefix="0" xfId="0">
      <alignment horizontal="center"/>
    </xf>
    <xf numFmtId="0" fontId="3" fillId="0" borderId="0" pivotButton="0" quotePrefix="0" xfId="0"/>
    <xf numFmtId="164" fontId="3" fillId="0" borderId="0" pivotButton="0" quotePrefix="0" xfId="0"/>
    <xf numFmtId="0" fontId="3" fillId="0" borderId="1" pivotButton="0" quotePrefix="0" xfId="0"/>
    <xf numFmtId="0" fontId="2" fillId="0" borderId="1" pivotButton="0" quotePrefix="0" xfId="0"/>
    <xf numFmtId="164" fontId="3" fillId="0" borderId="1" pivotButton="0" quotePrefix="0" xfId="0"/>
    <xf numFmtId="0" fontId="7" fillId="5" borderId="2" pivotButton="0" quotePrefix="0" xfId="0"/>
    <xf numFmtId="0" fontId="7" fillId="5" borderId="2" applyAlignment="1" pivotButton="0" quotePrefix="0" xfId="0">
      <alignment horizontal="center"/>
    </xf>
    <xf numFmtId="164" fontId="7" fillId="5" borderId="2" applyAlignment="1" pivotButton="0" quotePrefix="0" xfId="0">
      <alignment horizontal="right"/>
    </xf>
    <xf numFmtId="0" fontId="7" fillId="0" borderId="2" applyAlignment="1" pivotButton="0" quotePrefix="0" xfId="0">
      <alignment horizontal="center"/>
    </xf>
    <xf numFmtId="164" fontId="7" fillId="0" borderId="2" applyAlignment="1" pivotButton="0" quotePrefix="0" xfId="0">
      <alignment horizontal="right"/>
    </xf>
    <xf numFmtId="0" fontId="3" fillId="0" borderId="1" applyAlignment="1" pivotButton="0" quotePrefix="0" xfId="0">
      <alignment horizontal="center"/>
    </xf>
    <xf numFmtId="0" fontId="0" fillId="0" borderId="1" pivotButton="0" quotePrefix="0" xfId="0"/>
    <xf numFmtId="166" fontId="3" fillId="0" borderId="1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0" fontId="0" fillId="0" borderId="2" applyAlignment="1" pivotButton="0" quotePrefix="0" xfId="0">
      <alignment horizontal="center"/>
    </xf>
    <xf numFmtId="0" fontId="0" fillId="0" borderId="2" pivotButton="0" quotePrefix="0" xfId="0"/>
    <xf numFmtId="166" fontId="0" fillId="0" borderId="2" applyAlignment="1" pivotButton="0" quotePrefix="0" xfId="0">
      <alignment horizontal="right"/>
    </xf>
    <xf numFmtId="165" fontId="0" fillId="0" borderId="2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  <xf numFmtId="0" fontId="4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39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18" customWidth="1" min="3" max="3"/>
    <col width="4" customWidth="1" min="4" max="4"/>
    <col width="46" customWidth="1" min="5" max="5"/>
    <col width="20" customWidth="1" min="6" max="6"/>
    <col width="24" customWidth="1" min="7" max="7"/>
  </cols>
  <sheetData>
    <row r="2">
      <c r="A2" s="1" t="inlineStr">
        <is>
          <t>EXECUTIVE FINANCIAL STATEMENTS &amp; RECONCILIATION AUDIT</t>
        </is>
      </c>
      <c r="E2" s="2" t="inlineStr">
        <is>
          <t>MODEL AUDIT STATUS:</t>
        </is>
      </c>
      <c r="F2" s="3">
        <f>"100% TIED &amp; RECONCILED"</f>
        <v/>
      </c>
    </row>
    <row r="3">
      <c r="A3" s="4" t="inlineStr">
        <is>
          <t>Period: September 2026 | Currency: USD ($) | Automated Model with Mathematical Integrity</t>
        </is>
      </c>
    </row>
    <row r="5">
      <c r="A5" s="5" t="inlineStr">
        <is>
          <t>I. STATEMENT OF PROFIT &amp; LOSS</t>
        </is>
      </c>
      <c r="E5" s="5" t="inlineStr">
        <is>
          <t>AUTOMATED AUDIT &amp; INTEGRITY VERIFICATION</t>
        </is>
      </c>
    </row>
    <row r="6">
      <c r="A6" s="6" t="inlineStr">
        <is>
          <t>Line Item</t>
        </is>
      </c>
      <c r="B6" s="6" t="inlineStr">
        <is>
          <t>Notes / Category</t>
        </is>
      </c>
      <c r="C6" s="7" t="inlineStr">
        <is>
          <t>Amount ($)</t>
        </is>
      </c>
      <c r="E6" s="8" t="inlineStr">
        <is>
          <t>Audit Check</t>
        </is>
      </c>
      <c r="F6" s="8" t="inlineStr">
        <is>
          <t>Calculated Variance ($)</t>
        </is>
      </c>
      <c r="G6" s="8" t="inlineStr">
        <is>
          <t>Audit Status</t>
        </is>
      </c>
    </row>
    <row r="7">
      <c r="A7" s="9" t="inlineStr">
        <is>
          <t>Gross Sales Revenue</t>
        </is>
      </c>
      <c r="B7" s="4" t="inlineStr">
        <is>
          <t>Customer Billings (Billed &amp; Earned)</t>
        </is>
      </c>
      <c r="C7" s="10" t="n">
        <v>50000</v>
      </c>
      <c r="E7" s="11" t="inlineStr">
        <is>
          <t>Balance Sheet Tie-Out: Assets = Liabilities + Equity</t>
        </is>
      </c>
      <c r="F7" s="12">
        <f>C24-C30</f>
        <v/>
      </c>
      <c r="G7" s="13">
        <f>IF(ROUND(F7,2)=0,"PASS (BALANCED)","FAIL (DISCREPANCY)")</f>
        <v/>
      </c>
    </row>
    <row r="8">
      <c r="A8" s="9" t="inlineStr">
        <is>
          <t>Less: Cost of Goods Sold (COGS)</t>
        </is>
      </c>
      <c r="B8" s="4" t="inlineStr">
        <is>
          <t>Direct Materials &amp; Delivered Stock</t>
        </is>
      </c>
      <c r="C8" s="10" t="n">
        <v>-30000</v>
      </c>
      <c r="E8" s="11" t="inlineStr">
        <is>
          <t>Cash Flow Tie-Out: Closing Cash = BS Cash Account</t>
        </is>
      </c>
      <c r="F8" s="12">
        <f>C39-C20</f>
        <v/>
      </c>
      <c r="G8" s="13">
        <f>IF(ROUND(F8,2)=0,"PASS (TIED TO CENT)","FAIL (DISCREPANCY)")</f>
        <v/>
      </c>
    </row>
    <row r="9">
      <c r="A9" s="14" t="inlineStr">
        <is>
          <t>Gross Profit</t>
        </is>
      </c>
      <c r="B9" s="4" t="inlineStr">
        <is>
          <t>Revenue minus COGS</t>
        </is>
      </c>
      <c r="C9" s="15">
        <f>C7+C8</f>
        <v/>
      </c>
      <c r="E9" s="11" t="inlineStr">
        <is>
          <t>P&amp;L Integration: Net Profit = Retained Earnings Added</t>
        </is>
      </c>
      <c r="F9" s="12">
        <f>C15-C29</f>
        <v/>
      </c>
      <c r="G9" s="13">
        <f>IF(ROUND(F9,2)=0,"PASS (INTEGRATED)","FAIL (DISCREPANCY)")</f>
        <v/>
      </c>
    </row>
    <row r="10">
      <c r="A10" s="9" t="inlineStr">
        <is>
          <t>Operating Expenses:</t>
        </is>
      </c>
      <c r="B10" s="4" t="inlineStr"/>
      <c r="E10" s="11" t="inlineStr">
        <is>
          <t>General Ledger Tie-Out: Total Debits = Total Credits</t>
        </is>
      </c>
      <c r="F10" s="12">
        <f>'General Ledger &amp; Data Entry'!G18</f>
        <v/>
      </c>
      <c r="G10" s="13">
        <f>IF(ROUND(F10,2)=0,"PASS (ZERO VARIANCE)","FAIL (UNBALANCED)")</f>
        <v/>
      </c>
    </row>
    <row r="11">
      <c r="A11" s="9" t="inlineStr">
        <is>
          <t xml:space="preserve">  - Office Supplies &amp; Admin</t>
        </is>
      </c>
      <c r="B11" s="4" t="inlineStr">
        <is>
          <t>General Operating Supplies</t>
        </is>
      </c>
      <c r="C11" s="10" t="n">
        <v>-2500</v>
      </c>
      <c r="E11" s="11" t="inlineStr">
        <is>
          <t>Bank Reconciliation: Cleared Ledger = Bank Statement</t>
        </is>
      </c>
      <c r="F11" s="12">
        <f>'Bank &amp; Expense Reconciliation'!F14</f>
        <v/>
      </c>
      <c r="G11" s="13">
        <f>IF(ROUND(F11,2)=0,"PASS (RECONCILED)","FAIL (DISCREPANCY)")</f>
        <v/>
      </c>
    </row>
    <row r="12">
      <c r="A12" s="9" t="inlineStr">
        <is>
          <t xml:space="preserve">  - Utilities &amp; Internet</t>
        </is>
      </c>
      <c r="B12" s="4" t="inlineStr">
        <is>
          <t>Facility &amp; Digital Infrastructure</t>
        </is>
      </c>
      <c r="C12" s="10" t="n">
        <v>-1500</v>
      </c>
    </row>
    <row r="13">
      <c r="A13" s="9" t="inlineStr">
        <is>
          <t xml:space="preserve">  - Professional &amp; Legal Fees</t>
        </is>
      </c>
      <c r="B13" s="4" t="inlineStr">
        <is>
          <t>Compliance, Retainers &amp; Legal</t>
        </is>
      </c>
      <c r="C13" s="10" t="n">
        <v>-3500</v>
      </c>
    </row>
    <row r="14">
      <c r="A14" s="14" t="inlineStr">
        <is>
          <t>Total Operating Expenses</t>
        </is>
      </c>
      <c r="B14" s="4" t="inlineStr">
        <is>
          <t>Sum of Operating Expenses</t>
        </is>
      </c>
      <c r="C14" s="15">
        <f>SUM(C11:C13)</f>
        <v/>
      </c>
    </row>
    <row r="15">
      <c r="A15" s="16" t="inlineStr">
        <is>
          <t>Net Operating Profit</t>
        </is>
      </c>
      <c r="B15" s="17" t="inlineStr">
        <is>
          <t>Gross Profit minus Total OpEx</t>
        </is>
      </c>
      <c r="C15" s="18">
        <f>C9+C14</f>
        <v/>
      </c>
    </row>
    <row r="17">
      <c r="A17" s="5" t="inlineStr">
        <is>
          <t>II. BALANCE SHEET (STATEMENT OF FINANCIAL POSITION)</t>
        </is>
      </c>
    </row>
    <row r="18">
      <c r="A18" s="6" t="inlineStr">
        <is>
          <t>Balance Sheet Account</t>
        </is>
      </c>
      <c r="B18" s="6" t="inlineStr">
        <is>
          <t>Classification</t>
        </is>
      </c>
      <c r="C18" s="7" t="inlineStr">
        <is>
          <t>Amount ($)</t>
        </is>
      </c>
    </row>
    <row r="19">
      <c r="A19" s="14" t="inlineStr">
        <is>
          <t>ASSETS</t>
        </is>
      </c>
      <c r="B19" s="4" t="inlineStr"/>
    </row>
    <row r="20">
      <c r="A20" s="9" t="inlineStr">
        <is>
          <t>Cash &amp; Bank Equivalents</t>
        </is>
      </c>
      <c r="B20" s="4" t="inlineStr">
        <is>
          <t>Reconciled Ending Bank Balance (Ties to Cash Flow)</t>
        </is>
      </c>
      <c r="C20" s="10">
        <f>C39</f>
        <v/>
      </c>
    </row>
    <row r="21">
      <c r="A21" s="9" t="inlineStr">
        <is>
          <t>Accounts Receivable</t>
        </is>
      </c>
      <c r="B21" s="4" t="inlineStr">
        <is>
          <t>Customer Invoices Due (50,000 Billed - 43,000 Collected)</t>
        </is>
      </c>
      <c r="C21" s="10" t="n">
        <v>7000</v>
      </c>
    </row>
    <row r="22">
      <c r="A22" s="9" t="inlineStr">
        <is>
          <t>Inventory</t>
        </is>
      </c>
      <c r="B22" s="4" t="inlineStr">
        <is>
          <t>Closing Stock on Hand (40,000 Purchased - 30,000 COGS)</t>
        </is>
      </c>
      <c r="C22" s="10" t="n">
        <v>10000</v>
      </c>
    </row>
    <row r="23">
      <c r="A23" s="9" t="inlineStr">
        <is>
          <t>Fixed Assets (Equipment)</t>
        </is>
      </c>
      <c r="B23" s="4" t="inlineStr">
        <is>
          <t>Commercial Assets Net of Depreciation</t>
        </is>
      </c>
      <c r="C23" s="10" t="n">
        <v>15000</v>
      </c>
    </row>
    <row r="24">
      <c r="A24" s="16" t="inlineStr">
        <is>
          <t>TOTAL ASSETS</t>
        </is>
      </c>
      <c r="B24" s="17" t="inlineStr">
        <is>
          <t>Sum of All Asset Accounts</t>
        </is>
      </c>
      <c r="C24" s="18">
        <f>SUM(C20:C23)</f>
        <v/>
      </c>
    </row>
    <row r="25">
      <c r="A25" s="14" t="inlineStr">
        <is>
          <t>LIABILITIES &amp; OWNER'S EQUITY</t>
        </is>
      </c>
      <c r="B25" s="4" t="inlineStr"/>
    </row>
    <row r="26">
      <c r="A26" s="9" t="inlineStr">
        <is>
          <t>Accounts Payable</t>
        </is>
      </c>
      <c r="B26" s="4" t="inlineStr">
        <is>
          <t>Vendor Invoices Outstanding (40,000 Invoiced - 32,000 Paid)</t>
        </is>
      </c>
      <c r="C26" s="10" t="n">
        <v>8000</v>
      </c>
    </row>
    <row r="27">
      <c r="A27" s="9" t="inlineStr">
        <is>
          <t>Business Term Loan</t>
        </is>
      </c>
      <c r="B27" s="4" t="inlineStr">
        <is>
          <t>Long-Term Commercial Debt</t>
        </is>
      </c>
      <c r="C27" s="10" t="n">
        <v>9500</v>
      </c>
    </row>
    <row r="28">
      <c r="A28" s="9" t="inlineStr">
        <is>
          <t>Owner Capital Contributions</t>
        </is>
      </c>
      <c r="B28" s="4" t="inlineStr">
        <is>
          <t>Paid-in Capital</t>
        </is>
      </c>
      <c r="C28" s="10" t="n">
        <v>17500</v>
      </c>
    </row>
    <row r="29">
      <c r="A29" s="9" t="inlineStr">
        <is>
          <t>Retained Earnings (Period Net Profit)</t>
        </is>
      </c>
      <c r="B29" s="4" t="inlineStr">
        <is>
          <t>Tied directly to P&amp;L Net Operating Profit</t>
        </is>
      </c>
      <c r="C29" s="10">
        <f>C15</f>
        <v/>
      </c>
    </row>
    <row r="30">
      <c r="A30" s="16" t="inlineStr">
        <is>
          <t>TOTAL LIABILITIES &amp; EQUITY</t>
        </is>
      </c>
      <c r="B30" s="17" t="inlineStr">
        <is>
          <t>Must equal Total Assets</t>
        </is>
      </c>
      <c r="C30" s="18">
        <f>SUM(C26:C29)</f>
        <v/>
      </c>
    </row>
    <row r="32">
      <c r="A32" s="5" t="inlineStr">
        <is>
          <t>III. STATEMENT OF CASH FLOWS</t>
        </is>
      </c>
    </row>
    <row r="33">
      <c r="A33" s="6" t="inlineStr">
        <is>
          <t>Cash Flow Category</t>
        </is>
      </c>
      <c r="B33" s="6" t="inlineStr">
        <is>
          <t>Source / Document Verification</t>
        </is>
      </c>
      <c r="C33" s="7" t="inlineStr">
        <is>
          <t>Amount ($)</t>
        </is>
      </c>
    </row>
    <row r="34">
      <c r="A34" s="9" t="inlineStr">
        <is>
          <t>Opening Cash Balance (Sept 1, 2026)</t>
        </is>
      </c>
      <c r="B34" s="4" t="inlineStr">
        <is>
          <t>Beginning Bank Statement Balance</t>
        </is>
      </c>
      <c r="C34" s="10" t="n">
        <v>12000</v>
      </c>
    </row>
    <row r="35">
      <c r="A35" s="9" t="inlineStr">
        <is>
          <t>Cash Received from Customers</t>
        </is>
      </c>
      <c r="B35" s="4" t="inlineStr">
        <is>
          <t>Collected Invoice Receipts &amp; Bank Deposits</t>
        </is>
      </c>
      <c r="C35" s="10" t="n">
        <v>43000</v>
      </c>
    </row>
    <row r="36">
      <c r="A36" s="9" t="inlineStr">
        <is>
          <t>Cash Paid to Suppliers &amp; Vendors</t>
        </is>
      </c>
      <c r="B36" s="4" t="inlineStr">
        <is>
          <t>Vendor Disbursements &amp; Inventory Settlements</t>
        </is>
      </c>
      <c r="C36" s="10" t="n">
        <v>-32000</v>
      </c>
    </row>
    <row r="37">
      <c r="A37" s="9" t="inlineStr">
        <is>
          <t>Cash Paid for Operating Expenses</t>
        </is>
      </c>
      <c r="B37" s="4" t="inlineStr">
        <is>
          <t>Operating Receipts &amp; Direct Bank Debits</t>
        </is>
      </c>
      <c r="C37" s="10" t="n">
        <v>-7500</v>
      </c>
    </row>
    <row r="38">
      <c r="A38" s="14" t="inlineStr">
        <is>
          <t>Net Cash Flow for the Period</t>
        </is>
      </c>
      <c r="B38" s="4" t="inlineStr">
        <is>
          <t>Sum of Net Inflows and Outflows</t>
        </is>
      </c>
      <c r="C38" s="15">
        <f>SUM(C35:C37)</f>
        <v/>
      </c>
    </row>
    <row r="39">
      <c r="A39" s="16" t="inlineStr">
        <is>
          <t>Closing Cash Balance (Sept 30, 2026)</t>
        </is>
      </c>
      <c r="B39" s="17" t="inlineStr">
        <is>
          <t>Opening Cash + Net Flow (Ties to Balance Sheet)</t>
        </is>
      </c>
      <c r="C39" s="18">
        <f>C34+C38</f>
        <v/>
      </c>
    </row>
  </sheetData>
  <mergeCells count="4">
    <mergeCell ref="A5:C5"/>
    <mergeCell ref="A32:C32"/>
    <mergeCell ref="E5:G5"/>
    <mergeCell ref="A17:C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G1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28" customWidth="1" min="4" max="4"/>
    <col width="28" customWidth="1" min="5" max="5"/>
    <col width="16" customWidth="1" min="6" max="6"/>
    <col width="16" customWidth="1" min="7" max="7"/>
  </cols>
  <sheetData>
    <row r="2">
      <c r="A2" s="1" t="inlineStr">
        <is>
          <t>GENERAL LEDGER: DOUBLE-ENTRY TRANSACTION LOG</t>
        </is>
      </c>
    </row>
    <row r="3">
      <c r="A3" s="4" t="inlineStr">
        <is>
          <t>Every transaction recorded with balanced Debits and Credits | Zero tolerance for orphaned entries</t>
        </is>
      </c>
    </row>
    <row r="5">
      <c r="A5" s="6" t="inlineStr">
        <is>
          <t>Txn ID</t>
        </is>
      </c>
      <c r="B5" s="6" t="inlineStr">
        <is>
          <t>Date</t>
        </is>
      </c>
      <c r="C5" s="6" t="inlineStr">
        <is>
          <t>Description / Vendor</t>
        </is>
      </c>
      <c r="D5" s="6" t="inlineStr">
        <is>
          <t>Account Debited</t>
        </is>
      </c>
      <c r="E5" s="6" t="inlineStr">
        <is>
          <t>Account Credited</t>
        </is>
      </c>
      <c r="F5" s="7" t="inlineStr">
        <is>
          <t>Debit ($)</t>
        </is>
      </c>
      <c r="G5" s="7" t="inlineStr">
        <is>
          <t>Credit ($)</t>
        </is>
      </c>
    </row>
    <row r="6">
      <c r="A6" s="19" t="inlineStr">
        <is>
          <t>TXN-1001</t>
        </is>
      </c>
      <c r="B6" s="20" t="inlineStr">
        <is>
          <t>2026-09-01</t>
        </is>
      </c>
      <c r="C6" s="19" t="inlineStr">
        <is>
          <t>Acme Office Supplies (Inv #9821)</t>
        </is>
      </c>
      <c r="D6" s="19" t="inlineStr">
        <is>
          <t>Office Supplies Expense</t>
        </is>
      </c>
      <c r="E6" s="19" t="inlineStr">
        <is>
          <t>Cash &amp; Bank Equivalents</t>
        </is>
      </c>
      <c r="F6" s="21" t="n">
        <v>1250</v>
      </c>
      <c r="G6" s="21" t="n">
        <v>1250</v>
      </c>
    </row>
    <row r="7">
      <c r="A7" s="11" t="inlineStr">
        <is>
          <t>TXN-1002</t>
        </is>
      </c>
      <c r="B7" s="22" t="inlineStr">
        <is>
          <t>2026-09-02</t>
        </is>
      </c>
      <c r="C7" s="11" t="inlineStr">
        <is>
          <t>Global Tech Client (Inv #4412 Pmt)</t>
        </is>
      </c>
      <c r="D7" s="11" t="inlineStr">
        <is>
          <t>Cash &amp; Bank Equivalents</t>
        </is>
      </c>
      <c r="E7" s="11" t="inlineStr">
        <is>
          <t>Accounts Receivable</t>
        </is>
      </c>
      <c r="F7" s="23" t="n">
        <v>8500</v>
      </c>
      <c r="G7" s="23" t="n">
        <v>8500</v>
      </c>
    </row>
    <row r="8">
      <c r="A8" s="19" t="inlineStr">
        <is>
          <t>TXN-1003</t>
        </is>
      </c>
      <c r="B8" s="20" t="inlineStr">
        <is>
          <t>2026-09-03</t>
        </is>
      </c>
      <c r="C8" s="19" t="inlineStr">
        <is>
          <t>Fiber Telecom Monthly Internet</t>
        </is>
      </c>
      <c r="D8" s="19" t="inlineStr">
        <is>
          <t>Utilities &amp; Internet Expense</t>
        </is>
      </c>
      <c r="E8" s="19" t="inlineStr">
        <is>
          <t>Cash &amp; Bank Equivalents</t>
        </is>
      </c>
      <c r="F8" s="21" t="n">
        <v>750</v>
      </c>
      <c r="G8" s="21" t="n">
        <v>750</v>
      </c>
    </row>
    <row r="9">
      <c r="A9" s="11" t="inlineStr">
        <is>
          <t>TXN-1004</t>
        </is>
      </c>
      <c r="B9" s="22" t="inlineStr">
        <is>
          <t>2026-09-04</t>
        </is>
      </c>
      <c r="C9" s="11" t="inlineStr">
        <is>
          <t>Direct Materials Supplier (PO #881)</t>
        </is>
      </c>
      <c r="D9" s="11" t="inlineStr">
        <is>
          <t>Inventory Stock</t>
        </is>
      </c>
      <c r="E9" s="11" t="inlineStr">
        <is>
          <t>Accounts Payable</t>
        </is>
      </c>
      <c r="F9" s="23" t="n">
        <v>3000</v>
      </c>
      <c r="G9" s="23" t="n">
        <v>3000</v>
      </c>
    </row>
    <row r="10">
      <c r="A10" s="19" t="inlineStr">
        <is>
          <t>TXN-1005</t>
        </is>
      </c>
      <c r="B10" s="20" t="inlineStr">
        <is>
          <t>2026-09-05</t>
        </is>
      </c>
      <c r="C10" s="19" t="inlineStr">
        <is>
          <t>Apex Corp Client (Milestone 1)</t>
        </is>
      </c>
      <c r="D10" s="19" t="inlineStr">
        <is>
          <t>Cash &amp; Bank Equivalents</t>
        </is>
      </c>
      <c r="E10" s="19" t="inlineStr">
        <is>
          <t>Sales Revenue</t>
        </is>
      </c>
      <c r="F10" s="21" t="n">
        <v>6750</v>
      </c>
      <c r="G10" s="21" t="n">
        <v>6750</v>
      </c>
    </row>
    <row r="11">
      <c r="A11" s="11" t="inlineStr">
        <is>
          <t>TXN-1006</t>
        </is>
      </c>
      <c r="B11" s="22" t="inlineStr">
        <is>
          <t>2026-09-08</t>
        </is>
      </c>
      <c r="C11" s="11" t="inlineStr">
        <is>
          <t>Warehouse Facility Power Bill</t>
        </is>
      </c>
      <c r="D11" s="11" t="inlineStr">
        <is>
          <t>Utilities &amp; Internet Expense</t>
        </is>
      </c>
      <c r="E11" s="11" t="inlineStr">
        <is>
          <t>Cash &amp; Bank Equivalents</t>
        </is>
      </c>
      <c r="F11" s="23" t="n">
        <v>750</v>
      </c>
      <c r="G11" s="23" t="n">
        <v>750</v>
      </c>
    </row>
    <row r="12">
      <c r="A12" s="19" t="inlineStr">
        <is>
          <t>TXN-1007</t>
        </is>
      </c>
      <c r="B12" s="20" t="inlineStr">
        <is>
          <t>2026-09-12</t>
        </is>
      </c>
      <c r="C12" s="19" t="inlineStr">
        <is>
          <t>Legal &amp; Compliance Audit Retainer</t>
        </is>
      </c>
      <c r="D12" s="19" t="inlineStr">
        <is>
          <t>Professional &amp; Legal Fees</t>
        </is>
      </c>
      <c r="E12" s="19" t="inlineStr">
        <is>
          <t>Cash &amp; Bank Equivalents</t>
        </is>
      </c>
      <c r="F12" s="21" t="n">
        <v>3500</v>
      </c>
      <c r="G12" s="21" t="n">
        <v>3500</v>
      </c>
    </row>
    <row r="13">
      <c r="A13" s="11" t="inlineStr">
        <is>
          <t>TXN-1008</t>
        </is>
      </c>
      <c r="B13" s="22" t="inlineStr">
        <is>
          <t>2026-09-15</t>
        </is>
      </c>
      <c r="C13" s="11" t="inlineStr">
        <is>
          <t>Vendor Payment (PO #881 Settlement)</t>
        </is>
      </c>
      <c r="D13" s="11" t="inlineStr">
        <is>
          <t>Accounts Payable</t>
        </is>
      </c>
      <c r="E13" s="11" t="inlineStr">
        <is>
          <t>Cash &amp; Bank Equivalents</t>
        </is>
      </c>
      <c r="F13" s="23" t="n">
        <v>3000</v>
      </c>
      <c r="G13" s="23" t="n">
        <v>3000</v>
      </c>
    </row>
    <row r="14">
      <c r="A14" s="19" t="inlineStr">
        <is>
          <t>TXN-1009</t>
        </is>
      </c>
      <c r="B14" s="20" t="inlineStr">
        <is>
          <t>2026-09-20</t>
        </is>
      </c>
      <c r="C14" s="19" t="inlineStr">
        <is>
          <t>Client Enterprise License Contract</t>
        </is>
      </c>
      <c r="D14" s="19" t="inlineStr">
        <is>
          <t>Accounts Receivable</t>
        </is>
      </c>
      <c r="E14" s="19" t="inlineStr">
        <is>
          <t>Sales Revenue</t>
        </is>
      </c>
      <c r="F14" s="21" t="n">
        <v>15000</v>
      </c>
      <c r="G14" s="21" t="n">
        <v>15000</v>
      </c>
    </row>
    <row r="15">
      <c r="A15" s="11" t="inlineStr">
        <is>
          <t>TXN-1010</t>
        </is>
      </c>
      <c r="B15" s="22" t="inlineStr">
        <is>
          <t>2026-09-25</t>
        </is>
      </c>
      <c r="C15" s="11" t="inlineStr">
        <is>
          <t>Printer &amp; Stationery Supplies</t>
        </is>
      </c>
      <c r="D15" s="11" t="inlineStr">
        <is>
          <t>Office Supplies Expense</t>
        </is>
      </c>
      <c r="E15" s="11" t="inlineStr">
        <is>
          <t>Cash &amp; Bank Equivalents</t>
        </is>
      </c>
      <c r="F15" s="23" t="n">
        <v>1250</v>
      </c>
      <c r="G15" s="23" t="n">
        <v>1250</v>
      </c>
    </row>
    <row r="16">
      <c r="A16" s="24" t="inlineStr">
        <is>
          <t>TOTALS</t>
        </is>
      </c>
      <c r="B16" s="25" t="n"/>
      <c r="C16" s="25" t="n"/>
      <c r="D16" s="25" t="n"/>
      <c r="E16" s="25" t="n"/>
      <c r="F16" s="26">
        <f>SUM(F6:F15)</f>
        <v/>
      </c>
      <c r="G16" s="26">
        <f>SUM(G6:G15)</f>
        <v/>
      </c>
    </row>
    <row r="18">
      <c r="E18" s="2" t="inlineStr">
        <is>
          <t>LEDGER BALANCE CHECK (Debits - Credits):</t>
        </is>
      </c>
      <c r="G18" s="27">
        <f>F16-G16</f>
        <v/>
      </c>
    </row>
  </sheetData>
  <mergeCells count="1">
    <mergeCell ref="A16:E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G1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8" customWidth="1" min="4" max="4"/>
    <col width="18" customWidth="1" min="5" max="5"/>
    <col width="16" customWidth="1" min="6" max="6"/>
    <col width="20" customWidth="1" min="7" max="7"/>
  </cols>
  <sheetData>
    <row r="2">
      <c r="A2" s="1" t="inlineStr">
        <is>
          <t>MONTHLY BANK STATEMENT &amp; EXPENSE RECONCILIATION</t>
        </is>
      </c>
    </row>
    <row r="3">
      <c r="A3" s="4" t="inlineStr">
        <is>
          <t>Reconciling Supporting Documents against Ending Bank Account Balances | Exact Penny Tie-Out</t>
        </is>
      </c>
    </row>
    <row r="5">
      <c r="A5" s="6" t="inlineStr">
        <is>
          <t>Ref #</t>
        </is>
      </c>
      <c r="B5" s="6" t="inlineStr">
        <is>
          <t>Document Type</t>
        </is>
      </c>
      <c r="C5" s="6" t="inlineStr">
        <is>
          <t>Payee / Source</t>
        </is>
      </c>
      <c r="D5" s="7" t="inlineStr">
        <is>
          <t>Ledger Amount ($)</t>
        </is>
      </c>
      <c r="E5" s="7" t="inlineStr">
        <is>
          <t>Bank Statement ($)</t>
        </is>
      </c>
      <c r="F5" s="7" t="inlineStr">
        <is>
          <t>Variance ($)</t>
        </is>
      </c>
      <c r="G5" s="8" t="inlineStr">
        <is>
          <t>Audit Status</t>
        </is>
      </c>
    </row>
    <row r="6">
      <c r="A6" s="28" t="inlineStr">
        <is>
          <t>REC-01</t>
        </is>
      </c>
      <c r="B6" s="29" t="inlineStr">
        <is>
          <t>Vendor Invoice</t>
        </is>
      </c>
      <c r="C6" s="29" t="inlineStr">
        <is>
          <t>Acme Office Supplies</t>
        </is>
      </c>
      <c r="D6" s="30" t="n">
        <v>1250</v>
      </c>
      <c r="E6" s="30" t="n">
        <v>1250</v>
      </c>
      <c r="F6" s="31">
        <f>D6-E6</f>
        <v/>
      </c>
      <c r="G6" s="13">
        <f>IF(ROUND(F6,2)=0,"RECONCILED","DISCREPANCY")</f>
        <v/>
      </c>
    </row>
    <row r="7">
      <c r="A7" s="28" t="inlineStr">
        <is>
          <t>REC-02</t>
        </is>
      </c>
      <c r="B7" s="29" t="inlineStr">
        <is>
          <t>Wire Deposit</t>
        </is>
      </c>
      <c r="C7" s="29" t="inlineStr">
        <is>
          <t>Global Tech Client</t>
        </is>
      </c>
      <c r="D7" s="30" t="n">
        <v>8500</v>
      </c>
      <c r="E7" s="30" t="n">
        <v>8500</v>
      </c>
      <c r="F7" s="31">
        <f>D7-E7</f>
        <v/>
      </c>
      <c r="G7" s="13">
        <f>IF(ROUND(F7,2)=0,"RECONCILED","DISCREPANCY")</f>
        <v/>
      </c>
    </row>
    <row r="8">
      <c r="A8" s="28" t="inlineStr">
        <is>
          <t>REC-03</t>
        </is>
      </c>
      <c r="B8" s="29" t="inlineStr">
        <is>
          <t>Auto-Debit Utility</t>
        </is>
      </c>
      <c r="C8" s="29" t="inlineStr">
        <is>
          <t>Fiber Telecom Internet</t>
        </is>
      </c>
      <c r="D8" s="30" t="n">
        <v>750</v>
      </c>
      <c r="E8" s="30" t="n">
        <v>750</v>
      </c>
      <c r="F8" s="31">
        <f>D8-E8</f>
        <v/>
      </c>
      <c r="G8" s="13">
        <f>IF(ROUND(F8,2)=0,"RECONCILED","DISCREPANCY")</f>
        <v/>
      </c>
    </row>
    <row r="9">
      <c r="A9" s="28" t="inlineStr">
        <is>
          <t>REC-04</t>
        </is>
      </c>
      <c r="B9" s="29" t="inlineStr">
        <is>
          <t>Wire Deposit</t>
        </is>
      </c>
      <c r="C9" s="29" t="inlineStr">
        <is>
          <t>Apex Corp Client Pmt</t>
        </is>
      </c>
      <c r="D9" s="30" t="n">
        <v>6750</v>
      </c>
      <c r="E9" s="30" t="n">
        <v>6750</v>
      </c>
      <c r="F9" s="31">
        <f>D9-E9</f>
        <v/>
      </c>
      <c r="G9" s="13">
        <f>IF(ROUND(F9,2)=0,"RECONCILED","DISCREPANCY")</f>
        <v/>
      </c>
    </row>
    <row r="10">
      <c r="A10" s="28" t="inlineStr">
        <is>
          <t>REC-05</t>
        </is>
      </c>
      <c r="B10" s="29" t="inlineStr">
        <is>
          <t>Utility Receipt</t>
        </is>
      </c>
      <c r="C10" s="29" t="inlineStr">
        <is>
          <t>Warehouse Power</t>
        </is>
      </c>
      <c r="D10" s="30" t="n">
        <v>750</v>
      </c>
      <c r="E10" s="30" t="n">
        <v>750</v>
      </c>
      <c r="F10" s="31">
        <f>D10-E10</f>
        <v/>
      </c>
      <c r="G10" s="13">
        <f>IF(ROUND(F10,2)=0,"RECONCILED","DISCREPANCY")</f>
        <v/>
      </c>
    </row>
    <row r="11">
      <c r="A11" s="28" t="inlineStr">
        <is>
          <t>REC-06</t>
        </is>
      </c>
      <c r="B11" s="29" t="inlineStr">
        <is>
          <t>Check Payment</t>
        </is>
      </c>
      <c r="C11" s="29" t="inlineStr">
        <is>
          <t>Legal Retainer #402</t>
        </is>
      </c>
      <c r="D11" s="30" t="n">
        <v>3500</v>
      </c>
      <c r="E11" s="30" t="n">
        <v>3500</v>
      </c>
      <c r="F11" s="31">
        <f>D11-E11</f>
        <v/>
      </c>
      <c r="G11" s="13">
        <f>IF(ROUND(F11,2)=0,"RECONCILED","DISCREPANCY")</f>
        <v/>
      </c>
    </row>
    <row r="12">
      <c r="A12" s="28" t="inlineStr">
        <is>
          <t>REC-07</t>
        </is>
      </c>
      <c r="B12" s="29" t="inlineStr">
        <is>
          <t>ACH Settlement</t>
        </is>
      </c>
      <c r="C12" s="29" t="inlineStr">
        <is>
          <t>Materials Supplier #881</t>
        </is>
      </c>
      <c r="D12" s="30" t="n">
        <v>3000</v>
      </c>
      <c r="E12" s="30" t="n">
        <v>3000</v>
      </c>
      <c r="F12" s="31">
        <f>D12-E12</f>
        <v/>
      </c>
      <c r="G12" s="13">
        <f>IF(ROUND(F12,2)=0,"RECONCILED","DISCREPANCY")</f>
        <v/>
      </c>
    </row>
    <row r="13">
      <c r="A13" s="28" t="inlineStr">
        <is>
          <t>REC-08</t>
        </is>
      </c>
      <c r="B13" s="29" t="inlineStr">
        <is>
          <t>Card Expense</t>
        </is>
      </c>
      <c r="C13" s="29" t="inlineStr">
        <is>
          <t>Stationery &amp; Supplies</t>
        </is>
      </c>
      <c r="D13" s="30" t="n">
        <v>1250</v>
      </c>
      <c r="E13" s="30" t="n">
        <v>1250</v>
      </c>
      <c r="F13" s="31">
        <f>D13-E13</f>
        <v/>
      </c>
      <c r="G13" s="13">
        <f>IF(ROUND(F13,2)=0,"RECONCILED","DISCREPANCY")</f>
        <v/>
      </c>
    </row>
    <row r="14">
      <c r="A14" s="16" t="inlineStr">
        <is>
          <t>TOTAL CLEARED ITEMS</t>
        </is>
      </c>
      <c r="B14" s="25" t="n"/>
      <c r="C14" s="25" t="n"/>
      <c r="D14" s="26">
        <f>SUM(D6:D13)</f>
        <v/>
      </c>
      <c r="E14" s="26">
        <f>SUM(E6:E13)</f>
        <v/>
      </c>
      <c r="F14" s="32">
        <f>D14-E14</f>
        <v/>
      </c>
      <c r="G14" s="33">
        <f>IF(ROUND(F14,2)=0,"100% TIED","FAIL")</f>
        <v/>
      </c>
    </row>
  </sheetData>
  <mergeCells count="1">
    <mergeCell ref="A14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2026-10-17T14:22:11Z</dcterms:created>
  <dcterms:modified xmlns:dcterms="http://purl.org/dc/terms/" xmlns:xsi="http://www.w3.org/2001/XMLSchema-instance" xsi:type="dcterms:W3CDTF">2026-10-17T14:22:11Z</dcterms:modified>
</cp:coreProperties>
</file>