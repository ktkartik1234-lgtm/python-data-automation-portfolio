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eetMP3" sheetId="2" state="visible" r:id="rId2"/>
    <sheet xmlns:r="http://schemas.openxmlformats.org/officeDocument/2006/relationships" name="GeetMP3 Punjabi" sheetId="3" state="visible" r:id="rId3"/>
    <sheet xmlns:r="http://schemas.openxmlformats.org/officeDocument/2006/relationships" name="GeetMP3 Haryanvi" sheetId="4" state="visible" r:id="rId4"/>
    <sheet xmlns:r="http://schemas.openxmlformats.org/officeDocument/2006/relationships" name="Geet MP3 Devotional" sheetId="5" state="visible" r:id="rId5"/>
  </sheets>
  <definedNames>
    <definedName name="_xlnm._FilterDatabase" localSheetId="1" hidden="1">'GeetMP3'!$A$3:$U$30</definedName>
    <definedName name="_xlnm._FilterDatabase" localSheetId="2" hidden="1">'GeetMP3 Punjabi'!$A$3:$U$30</definedName>
    <definedName name="_xlnm._FilterDatabase" localSheetId="3" hidden="1">'GeetMP3 Haryanvi'!$A$3:$U$30</definedName>
    <definedName name="_xlnm._FilterDatabase" localSheetId="4" hidden="1">'Geet MP3 Devotional'!$A$3:$U$30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YYYY-MM-DD"/>
  </numFmts>
  <fonts count="23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2E8F0"/>
      <sz val="9"/>
    </font>
    <font>
      <name val="Segoe UI"/>
      <b val="1"/>
      <color rgb="001D4ED8"/>
      <sz val="8"/>
    </font>
    <font>
      <name val="Segoe UI"/>
      <b val="1"/>
      <color rgb="001E3A8A"/>
      <sz val="20"/>
    </font>
    <font>
      <name val="Segoe UI"/>
      <b val="1"/>
      <color rgb="00991B1B"/>
      <sz val="8"/>
    </font>
    <font>
      <name val="Segoe UI"/>
      <b val="1"/>
      <color rgb="00991B1B"/>
      <sz val="20"/>
    </font>
    <font>
      <name val="Segoe UI"/>
      <b val="1"/>
      <color rgb="00047857"/>
      <sz val="8"/>
    </font>
    <font>
      <name val="Segoe UI"/>
      <b val="1"/>
      <color rgb="00065F46"/>
      <sz val="20"/>
    </font>
    <font>
      <name val="Segoe UI"/>
      <b val="1"/>
      <color rgb="006D28D9"/>
      <sz val="8"/>
    </font>
    <font>
      <name val="Segoe UI"/>
      <b val="1"/>
      <color rgb="005B21B6"/>
      <sz val="20"/>
    </font>
    <font>
      <name val="Segoe UI"/>
      <b val="1"/>
      <color rgb="00B45309"/>
      <sz val="8"/>
    </font>
    <font>
      <name val="Segoe UI"/>
      <b val="1"/>
      <color rgb="0092400E"/>
      <sz val="20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b val="1"/>
      <color rgb="001E293B"/>
      <sz val="9"/>
    </font>
    <font>
      <name val="Segoe UI"/>
      <color rgb="001E293B"/>
      <sz val="9"/>
    </font>
    <font>
      <name val="Segoe UI"/>
      <color rgb="001D4ED8"/>
      <sz val="9"/>
      <u val="single"/>
    </font>
    <font>
      <name val="Segoe UI"/>
      <b val="1"/>
      <color rgb="000F172A"/>
      <sz val="9"/>
    </font>
    <font>
      <name val="Segoe UI"/>
      <color rgb="0064748B"/>
      <sz val="8"/>
    </font>
    <font>
      <name val="Segoe UI"/>
      <b val="1"/>
      <color rgb="00FFFFFF"/>
      <sz val="13"/>
    </font>
    <font>
      <name val="Segoe UI"/>
      <b val="1"/>
      <color rgb="00FFFFFF"/>
      <sz val="10"/>
      <u val="single"/>
    </font>
    <font>
      <name val="Segoe UI"/>
      <i val="1"/>
      <color rgb="00475569"/>
      <sz val="8"/>
    </font>
  </fonts>
  <fills count="16">
    <fill>
      <patternFill/>
    </fill>
    <fill>
      <patternFill patternType="gray125"/>
    </fill>
    <fill>
      <patternFill patternType="solid">
        <fgColor rgb="00881337"/>
        <bgColor rgb="00881337"/>
      </patternFill>
    </fill>
    <fill>
      <patternFill patternType="solid">
        <fgColor rgb="000F172A"/>
        <bgColor rgb="000F172A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F5F3FF"/>
        <bgColor rgb="00F5F3FF"/>
      </patternFill>
    </fill>
    <fill>
      <patternFill patternType="solid">
        <fgColor rgb="00FFFBEB"/>
        <bgColor rgb="00FFFBEB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E3A8A"/>
        <bgColor rgb="001E3A8A"/>
      </patternFill>
    </fill>
    <fill>
      <patternFill patternType="solid">
        <fgColor rgb="00065F46"/>
        <bgColor rgb="00065F46"/>
      </patternFill>
    </fill>
    <fill>
      <patternFill patternType="solid">
        <fgColor rgb="0078350F"/>
        <bgColor rgb="0078350F"/>
      </patternFill>
    </fill>
  </fills>
  <borders count="4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94A3B8"/>
      </top>
      <bottom style="double">
        <color rgb="000F172A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  <xf numFmtId="164" fontId="12" fillId="8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9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0" fontId="17" fillId="0" borderId="2" applyAlignment="1" pivotButton="0" quotePrefix="0" xfId="0">
      <alignment horizontal="center" vertical="center"/>
    </xf>
    <xf numFmtId="3" fontId="15" fillId="0" borderId="2" applyAlignment="1" pivotButton="0" quotePrefix="0" xfId="0">
      <alignment horizontal="right" vertical="center"/>
    </xf>
    <xf numFmtId="3" fontId="16" fillId="0" borderId="2" applyAlignment="1" pivotButton="0" quotePrefix="0" xfId="0">
      <alignment horizontal="right" vertical="center"/>
    </xf>
    <xf numFmtId="164" fontId="16" fillId="0" borderId="2" applyAlignment="1" pivotButton="0" quotePrefix="0" xfId="0">
      <alignment horizontal="right" vertical="center"/>
    </xf>
    <xf numFmtId="0" fontId="18" fillId="10" borderId="3" applyAlignment="1" pivotButton="0" quotePrefix="0" xfId="0">
      <alignment horizontal="right" vertical="center"/>
    </xf>
    <xf numFmtId="0" fontId="0" fillId="10" borderId="3" pivotButton="0" quotePrefix="0" xfId="0"/>
    <xf numFmtId="3" fontId="15" fillId="10" borderId="3" applyAlignment="1" pivotButton="0" quotePrefix="0" xfId="0">
      <alignment horizontal="right" vertical="center"/>
    </xf>
    <xf numFmtId="164" fontId="15" fillId="10" borderId="3" applyAlignment="1" pivotButton="0" quotePrefix="0" xfId="0">
      <alignment horizontal="right" vertical="center"/>
    </xf>
    <xf numFmtId="0" fontId="15" fillId="10" borderId="3" pivotButton="0" quotePrefix="0" xfId="0"/>
    <xf numFmtId="0" fontId="15" fillId="0" borderId="2" pivotButton="0" quotePrefix="0" xfId="0"/>
    <xf numFmtId="0" fontId="19" fillId="0" borderId="2" applyAlignment="1" pivotButton="0" quotePrefix="0" xfId="0">
      <alignment horizontal="center" vertical="center"/>
    </xf>
    <xf numFmtId="164" fontId="15" fillId="0" borderId="2" applyAlignment="1" pivotButton="0" quotePrefix="0" xfId="0">
      <alignment horizontal="right" vertical="center"/>
    </xf>
    <xf numFmtId="0" fontId="15" fillId="0" borderId="2" applyAlignment="1" pivotButton="0" quotePrefix="0" xfId="0">
      <alignment horizontal="center" vertical="center"/>
    </xf>
    <xf numFmtId="0" fontId="20" fillId="2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center" vertical="center"/>
    </xf>
    <xf numFmtId="0" fontId="22" fillId="11" borderId="0" applyAlignment="1" pivotButton="0" quotePrefix="0" xfId="0">
      <alignment horizontal="left" vertical="center" indent="1"/>
    </xf>
    <xf numFmtId="0" fontId="16" fillId="12" borderId="2" applyAlignment="1" pivotButton="0" quotePrefix="0" xfId="0">
      <alignment horizontal="center" vertical="center"/>
    </xf>
    <xf numFmtId="0" fontId="16" fillId="12" borderId="2" applyAlignment="1" pivotButton="0" quotePrefix="0" xfId="0">
      <alignment horizontal="left" vertical="center"/>
    </xf>
    <xf numFmtId="166" fontId="16" fillId="12" borderId="2" applyAlignment="1" pivotButton="0" quotePrefix="0" xfId="0">
      <alignment horizontal="center" vertical="center"/>
    </xf>
    <xf numFmtId="3" fontId="15" fillId="12" borderId="2" applyAlignment="1" pivotButton="0" quotePrefix="0" xfId="0">
      <alignment horizontal="right" vertical="center"/>
    </xf>
    <xf numFmtId="0" fontId="17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16" fillId="11" borderId="2" applyAlignment="1" pivotButton="0" quotePrefix="0" xfId="0">
      <alignment horizontal="center" vertical="center"/>
    </xf>
    <xf numFmtId="0" fontId="16" fillId="11" borderId="2" applyAlignment="1" pivotButton="0" quotePrefix="0" xfId="0">
      <alignment horizontal="left" vertical="center"/>
    </xf>
    <xf numFmtId="166" fontId="16" fillId="11" borderId="2" applyAlignment="1" pivotButton="0" quotePrefix="0" xfId="0">
      <alignment horizontal="center" vertical="center"/>
    </xf>
    <xf numFmtId="3" fontId="15" fillId="11" borderId="2" applyAlignment="1" pivotButton="0" quotePrefix="0" xfId="0">
      <alignment horizontal="right" vertical="center"/>
    </xf>
    <xf numFmtId="0" fontId="17" fillId="11" borderId="2" applyAlignment="1" pivotButton="0" quotePrefix="0" xfId="0">
      <alignment horizontal="left" vertical="center"/>
    </xf>
    <xf numFmtId="0" fontId="16" fillId="11" borderId="2" applyAlignment="1" pivotButton="0" quotePrefix="0" xfId="0">
      <alignment horizontal="left" vertical="center" wrapText="1"/>
    </xf>
    <xf numFmtId="3" fontId="16" fillId="11" borderId="2" applyAlignment="1" pivotButton="0" quotePrefix="0" xfId="0">
      <alignment horizontal="right" vertical="center"/>
    </xf>
    <xf numFmtId="3" fontId="16" fillId="12" borderId="2" applyAlignment="1" pivotButton="0" quotePrefix="0" xfId="0">
      <alignment horizontal="right" vertical="center"/>
    </xf>
    <xf numFmtId="0" fontId="20" fillId="13" borderId="0" applyAlignment="1" pivotButton="0" quotePrefix="0" xfId="0">
      <alignment horizontal="left" vertical="center" indent="1"/>
    </xf>
    <xf numFmtId="0" fontId="20" fillId="14" borderId="0" applyAlignment="1" pivotButton="0" quotePrefix="0" xfId="0">
      <alignment horizontal="left" vertical="center" indent="1"/>
    </xf>
    <xf numFmtId="0" fontId="20" fillId="15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34" customWidth="1" min="3" max="3"/>
    <col width="24" customWidth="1" min="4" max="4"/>
    <col width="16" customWidth="1" min="5" max="5"/>
    <col width="22" customWidth="1" min="6" max="6"/>
    <col width="22" customWidth="1" min="7" max="7"/>
    <col width="16" customWidth="1" min="8" max="8"/>
    <col width="16" customWidth="1" min="9" max="9"/>
    <col width="22" customWidth="1" min="10" max="10"/>
    <col width="16" customWidth="1" min="11" max="11"/>
  </cols>
  <sheetData>
    <row r="2" ht="36" customHeight="1">
      <c r="B2" s="1" t="inlineStr">
        <is>
          <t>GEETMP3 YOUTUBE NETWORK - CENTRAL SONG MANAGEMENT DASHBOARD</t>
        </is>
      </c>
    </row>
    <row r="3" ht="20" customHeight="1">
      <c r="B3" s="2" t="inlineStr">
        <is>
          <t>Executive Multi-Channel Song Catalog, Streaming Performance Analytics &amp; Metadata Central</t>
        </is>
      </c>
    </row>
    <row r="5">
      <c r="B5" s="3" t="inlineStr">
        <is>
          <t>TOTAL SONGS (ALL CHANNELS)</t>
        </is>
      </c>
      <c r="C5" s="4" t="n"/>
      <c r="D5" s="5" t="inlineStr">
        <is>
          <t>TOTAL YOUTUBE VIEWS</t>
        </is>
      </c>
      <c r="E5" s="4" t="n"/>
      <c r="F5" s="6" t="inlineStr">
        <is>
          <t>AVERAGE VIEWS / SONG</t>
        </is>
      </c>
      <c r="G5" s="4" t="n"/>
      <c r="H5" s="7" t="inlineStr">
        <is>
          <t>CHANNELS MONITORED</t>
        </is>
      </c>
      <c r="I5" s="4" t="n"/>
      <c r="J5" s="8" t="inlineStr">
        <is>
          <t>STREAMING LINK COVERAGE</t>
        </is>
      </c>
      <c r="K5" s="4" t="n"/>
    </row>
    <row r="6">
      <c r="B6" s="9">
        <f>E16</f>
        <v/>
      </c>
      <c r="C6" s="4" t="n"/>
      <c r="D6" s="10">
        <f>F16</f>
        <v/>
      </c>
      <c r="E6" s="4" t="n"/>
      <c r="F6" s="11">
        <f>G16</f>
        <v/>
      </c>
      <c r="G6" s="4" t="n"/>
      <c r="H6" s="12" t="n">
        <v>4</v>
      </c>
      <c r="I6" s="4" t="n"/>
      <c r="J6" s="13">
        <f>AVERAGE(E31:E36)</f>
        <v/>
      </c>
      <c r="K6" s="4" t="n"/>
    </row>
    <row r="7"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10">
      <c r="B10" s="14" t="inlineStr">
        <is>
          <t>CHANNEL PERFORMANCE &amp; SUMMARY BREAKDOWN</t>
        </is>
      </c>
    </row>
    <row r="11" ht="24" customHeight="1">
      <c r="B11" s="15" t="inlineStr">
        <is>
          <t>Channel Name</t>
        </is>
      </c>
      <c r="C11" s="15" t="inlineStr">
        <is>
          <t>Channel Focus / Genre</t>
        </is>
      </c>
      <c r="D11" s="15" t="inlineStr">
        <is>
          <t>Dedicated Sheet Link</t>
        </is>
      </c>
      <c r="E11" s="15" t="inlineStr">
        <is>
          <t>Total Songs</t>
        </is>
      </c>
      <c r="F11" s="15" t="inlineStr">
        <is>
          <t>Total YouTube Views</t>
        </is>
      </c>
      <c r="G11" s="15" t="inlineStr">
        <is>
          <t>Average Views / Song</t>
        </is>
      </c>
      <c r="H11" s="15" t="inlineStr">
        <is>
          <t>% Channel View Share</t>
        </is>
      </c>
    </row>
    <row r="12" ht="20" customHeight="1">
      <c r="B12" s="16" t="inlineStr">
        <is>
          <t>GeetMP3</t>
        </is>
      </c>
      <c r="C12" s="17" t="inlineStr">
        <is>
          <t>Official Mainstream / Flagship Pop</t>
        </is>
      </c>
      <c r="D12" s="18">
        <f>HYPERLINK("#'GeetMP3'!A1", "➡ Open GeetMP3 Sheet")</f>
        <v/>
      </c>
      <c r="E12" s="19">
        <f>COUNTA('GeetMP3'!D4:D5000)</f>
        <v/>
      </c>
      <c r="F12" s="19">
        <f>SUM('GeetMP3'!M4:M5000)</f>
        <v/>
      </c>
      <c r="G12" s="20">
        <f>IFERROR(F12/E12, 0)</f>
        <v/>
      </c>
      <c r="H12" s="21">
        <f>IFERROR(F12/$F$16, 0)</f>
        <v/>
      </c>
    </row>
    <row r="13" ht="20" customHeight="1">
      <c r="B13" s="16" t="inlineStr">
        <is>
          <t>GeetMP3 Punjabi</t>
        </is>
      </c>
      <c r="C13" s="17" t="inlineStr">
        <is>
          <t>Regional Punjabi Music &amp; Desi Beats</t>
        </is>
      </c>
      <c r="D13" s="18">
        <f>HYPERLINK("#'GeetMP3 Punjabi'!A1", "➡ Open GeetMP3 Punjabi Sheet")</f>
        <v/>
      </c>
      <c r="E13" s="19">
        <f>COUNTA('GeetMP3 Punjabi'!D4:D5000)</f>
        <v/>
      </c>
      <c r="F13" s="19">
        <f>SUM('GeetMP3 Punjabi'!M4:M5000)</f>
        <v/>
      </c>
      <c r="G13" s="20">
        <f>IFERROR(F13/E13, 0)</f>
        <v/>
      </c>
      <c r="H13" s="21">
        <f>IFERROR(F13/$F$16, 0)</f>
        <v/>
      </c>
    </row>
    <row r="14" ht="20" customHeight="1">
      <c r="B14" s="16" t="inlineStr">
        <is>
          <t>GeetMP3 Haryanvi</t>
        </is>
      </c>
      <c r="C14" s="17" t="inlineStr">
        <is>
          <t>Haryanvi Hits, Folk Rap &amp; Dance</t>
        </is>
      </c>
      <c r="D14" s="18">
        <f>HYPERLINK("#'GeetMP3 Haryanvi'!A1", "➡ Open GeetMP3 Haryanvi Sheet")</f>
        <v/>
      </c>
      <c r="E14" s="19">
        <f>COUNTA('GeetMP3 Haryanvi'!D4:D5000)</f>
        <v/>
      </c>
      <c r="F14" s="19">
        <f>SUM('GeetMP3 Haryanvi'!M4:M5000)</f>
        <v/>
      </c>
      <c r="G14" s="20">
        <f>IFERROR(F14/E14, 0)</f>
        <v/>
      </c>
      <c r="H14" s="21">
        <f>IFERROR(F14/$F$16, 0)</f>
        <v/>
      </c>
    </row>
    <row r="15" ht="20" customHeight="1">
      <c r="B15" s="16" t="inlineStr">
        <is>
          <t>Geet MP3 Devotional</t>
        </is>
      </c>
      <c r="C15" s="17" t="inlineStr">
        <is>
          <t>Spiritual Bhajans, Aarti &amp; Chants</t>
        </is>
      </c>
      <c r="D15" s="18">
        <f>HYPERLINK("#'Geet MP3 Devotional'!A1", "➡ Open Geet MP3 Devotional Sheet")</f>
        <v/>
      </c>
      <c r="E15" s="19">
        <f>COUNTA('Geet MP3 Devotional'!D4:D5000)</f>
        <v/>
      </c>
      <c r="F15" s="19">
        <f>SUM('Geet MP3 Devotional'!M4:M5000)</f>
        <v/>
      </c>
      <c r="G15" s="20">
        <f>IFERROR(F15/E15, 0)</f>
        <v/>
      </c>
      <c r="H15" s="21">
        <f>IFERROR(F15/$F$16, 0)</f>
        <v/>
      </c>
    </row>
    <row r="16" ht="22" customHeight="1">
      <c r="B16" s="22" t="inlineStr">
        <is>
          <t>TOTAL / NETWORK SUMMARY</t>
        </is>
      </c>
      <c r="C16" s="23" t="n"/>
      <c r="D16" s="23" t="n"/>
      <c r="E16" s="24">
        <f>SUM(E12:E15)</f>
        <v/>
      </c>
      <c r="F16" s="24">
        <f>SUM(F12:F15)</f>
        <v/>
      </c>
      <c r="G16" s="24">
        <f>IFERROR(F16/E16, 0)</f>
        <v/>
      </c>
      <c r="H16" s="25">
        <f>SUM(H12:H15)</f>
        <v/>
      </c>
    </row>
    <row r="19">
      <c r="B19" s="14" t="inlineStr">
        <is>
          <t>RELEASE TYPE SUMMARY</t>
        </is>
      </c>
      <c r="G19" s="14" t="inlineStr">
        <is>
          <t>LANGUAGE DISTRIBUTION SUMMARY</t>
        </is>
      </c>
    </row>
    <row r="20" ht="22" customHeight="1">
      <c r="B20" s="15" t="inlineStr">
        <is>
          <t>Release Type</t>
        </is>
      </c>
      <c r="C20" s="15" t="inlineStr">
        <is>
          <t>Track Count</t>
        </is>
      </c>
      <c r="D20" s="15" t="inlineStr">
        <is>
          <t>% Catalog Share</t>
        </is>
      </c>
      <c r="E20" s="15" t="inlineStr">
        <is>
          <t>Total Views</t>
        </is>
      </c>
      <c r="G20" s="15" t="inlineStr">
        <is>
          <t>Language</t>
        </is>
      </c>
      <c r="H20" s="15" t="inlineStr">
        <is>
          <t>Track Count</t>
        </is>
      </c>
      <c r="I20" s="15" t="inlineStr">
        <is>
          <t>% Catalog Share</t>
        </is>
      </c>
      <c r="J20" s="15" t="inlineStr">
        <is>
          <t>Total Views</t>
        </is>
      </c>
    </row>
    <row r="21" ht="20" customHeight="1">
      <c r="B21" s="16" t="inlineStr">
        <is>
          <t>Single</t>
        </is>
      </c>
      <c r="C21" s="20">
        <f>COUNTIF('GeetMP3'!$F$4:$F$5000, "Single") + COUNTIF('GeetMP3 Punjabi'!$F$4:$F$5000, "Single") + COUNTIF('GeetMP3 Haryanvi'!$F$4:$F$5000, "Single") + COUNTIF('Geet MP3 Devotional'!$F$4:$F$5000, "Single")</f>
        <v/>
      </c>
      <c r="D21" s="21">
        <f>IFERROR(C21/$E$16, 0)</f>
        <v/>
      </c>
      <c r="E21" s="20">
        <f>SUMIF('GeetMP3'!$F$4:$F$5000, "Single", 'GeetMP3'!$M$4:$M$5000) + SUMIF('GeetMP3 Punjabi'!$F$4:$F$5000, "Single", 'GeetMP3 Punjabi'!$M$4:$M$5000) + SUMIF('GeetMP3 Haryanvi'!$F$4:$F$5000, "Single", 'GeetMP3 Haryanvi'!$M$4:$M$5000) + SUMIF('Geet MP3 Devotional'!$F$4:$F$5000, "Single", 'Geet MP3 Devotional'!$M$4:$M$5000)</f>
        <v/>
      </c>
      <c r="G21" s="16" t="inlineStr">
        <is>
          <t>Punjabi</t>
        </is>
      </c>
      <c r="H21" s="20">
        <f>COUNTIF('GeetMP3'!$L$4:$L$5000, "Punjabi") + COUNTIF('GeetMP3 Punjabi'!$L$4:$L$5000, "Punjabi") + COUNTIF('GeetMP3 Haryanvi'!$L$4:$L$5000, "Punjabi") + COUNTIF('Geet MP3 Devotional'!$L$4:$L$5000, "Punjabi")</f>
        <v/>
      </c>
      <c r="I21" s="21">
        <f>IFERROR(H21/$E$16, 0)</f>
        <v/>
      </c>
      <c r="J21" s="20">
        <f>SUMIF('GeetMP3'!$L$4:$L$5000, "Punjabi", 'GeetMP3'!$M$4:$M$5000) + SUMIF('GeetMP3 Punjabi'!$L$4:$L$5000, "Punjabi", 'GeetMP3 Punjabi'!$M$4:$M$5000) + SUMIF('GeetMP3 Haryanvi'!$L$4:$L$5000, "Punjabi", 'GeetMP3 Haryanvi'!$M$4:$M$5000) + SUMIF('Geet MP3 Devotional'!$L$4:$L$5000, "Punjabi", 'Geet MP3 Devotional'!$M$4:$M$5000)</f>
        <v/>
      </c>
    </row>
    <row r="22" ht="20" customHeight="1">
      <c r="B22" s="16" t="inlineStr">
        <is>
          <t>Album</t>
        </is>
      </c>
      <c r="C22" s="20">
        <f>COUNTIF('GeetMP3'!$F$4:$F$5000, "Album") + COUNTIF('GeetMP3 Punjabi'!$F$4:$F$5000, "Album") + COUNTIF('GeetMP3 Haryanvi'!$F$4:$F$5000, "Album") + COUNTIF('Geet MP3 Devotional'!$F$4:$F$5000, "Album")</f>
        <v/>
      </c>
      <c r="D22" s="21">
        <f>IFERROR(C22/$E$16, 0)</f>
        <v/>
      </c>
      <c r="E22" s="20">
        <f>SUMIF('GeetMP3'!$F$4:$F$5000, "Album", 'GeetMP3'!$M$4:$M$5000) + SUMIF('GeetMP3 Punjabi'!$F$4:$F$5000, "Album", 'GeetMP3 Punjabi'!$M$4:$M$5000) + SUMIF('GeetMP3 Haryanvi'!$F$4:$F$5000, "Album", 'GeetMP3 Haryanvi'!$M$4:$M$5000) + SUMIF('Geet MP3 Devotional'!$F$4:$F$5000, "Album", 'Geet MP3 Devotional'!$M$4:$M$5000)</f>
        <v/>
      </c>
      <c r="G22" s="16" t="inlineStr">
        <is>
          <t>Haryanvi</t>
        </is>
      </c>
      <c r="H22" s="20">
        <f>COUNTIF('GeetMP3'!$L$4:$L$5000, "Haryanvi") + COUNTIF('GeetMP3 Punjabi'!$L$4:$L$5000, "Haryanvi") + COUNTIF('GeetMP3 Haryanvi'!$L$4:$L$5000, "Haryanvi") + COUNTIF('Geet MP3 Devotional'!$L$4:$L$5000, "Haryanvi")</f>
        <v/>
      </c>
      <c r="I22" s="21">
        <f>IFERROR(H22/$E$16, 0)</f>
        <v/>
      </c>
      <c r="J22" s="20">
        <f>SUMIF('GeetMP3'!$L$4:$L$5000, "Haryanvi", 'GeetMP3'!$M$4:$M$5000) + SUMIF('GeetMP3 Punjabi'!$L$4:$L$5000, "Haryanvi", 'GeetMP3 Punjabi'!$M$4:$M$5000) + SUMIF('GeetMP3 Haryanvi'!$L$4:$L$5000, "Haryanvi", 'GeetMP3 Haryanvi'!$M$4:$M$5000) + SUMIF('Geet MP3 Devotional'!$L$4:$L$5000, "Haryanvi", 'Geet MP3 Devotional'!$M$4:$M$5000)</f>
        <v/>
      </c>
    </row>
    <row r="23" ht="20" customHeight="1">
      <c r="B23" s="16" t="inlineStr">
        <is>
          <t>Movie</t>
        </is>
      </c>
      <c r="C23" s="20">
        <f>COUNTIF('GeetMP3'!$F$4:$F$5000, "Movie") + COUNTIF('GeetMP3 Punjabi'!$F$4:$F$5000, "Movie") + COUNTIF('GeetMP3 Haryanvi'!$F$4:$F$5000, "Movie") + COUNTIF('Geet MP3 Devotional'!$F$4:$F$5000, "Movie")</f>
        <v/>
      </c>
      <c r="D23" s="21">
        <f>IFERROR(C23/$E$16, 0)</f>
        <v/>
      </c>
      <c r="E23" s="20">
        <f>SUMIF('GeetMP3'!$F$4:$F$5000, "Movie", 'GeetMP3'!$M$4:$M$5000) + SUMIF('GeetMP3 Punjabi'!$F$4:$F$5000, "Movie", 'GeetMP3 Punjabi'!$M$4:$M$5000) + SUMIF('GeetMP3 Haryanvi'!$F$4:$F$5000, "Movie", 'GeetMP3 Haryanvi'!$M$4:$M$5000) + SUMIF('Geet MP3 Devotional'!$F$4:$F$5000, "Movie", 'Geet MP3 Devotional'!$M$4:$M$5000)</f>
        <v/>
      </c>
      <c r="G23" s="16" t="inlineStr">
        <is>
          <t>Hindi</t>
        </is>
      </c>
      <c r="H23" s="20">
        <f>COUNTIF('GeetMP3'!$L$4:$L$5000, "Hindi") + COUNTIF('GeetMP3 Punjabi'!$L$4:$L$5000, "Hindi") + COUNTIF('GeetMP3 Haryanvi'!$L$4:$L$5000, "Hindi") + COUNTIF('Geet MP3 Devotional'!$L$4:$L$5000, "Hindi")</f>
        <v/>
      </c>
      <c r="I23" s="21">
        <f>IFERROR(H23/$E$16, 0)</f>
        <v/>
      </c>
      <c r="J23" s="20">
        <f>SUMIF('GeetMP3'!$L$4:$L$5000, "Hindi", 'GeetMP3'!$M$4:$M$5000) + SUMIF('GeetMP3 Punjabi'!$L$4:$L$5000, "Hindi", 'GeetMP3 Punjabi'!$M$4:$M$5000) + SUMIF('GeetMP3 Haryanvi'!$L$4:$L$5000, "Hindi", 'GeetMP3 Haryanvi'!$M$4:$M$5000) + SUMIF('Geet MP3 Devotional'!$L$4:$L$5000, "Hindi", 'Geet MP3 Devotional'!$M$4:$M$5000)</f>
        <v/>
      </c>
    </row>
    <row r="24" ht="20" customHeight="1">
      <c r="B24" s="16" t="inlineStr">
        <is>
          <t>EP</t>
        </is>
      </c>
      <c r="C24" s="20">
        <f>COUNTIF('GeetMP3'!$F$4:$F$5000, "EP") + COUNTIF('GeetMP3 Punjabi'!$F$4:$F$5000, "EP") + COUNTIF('GeetMP3 Haryanvi'!$F$4:$F$5000, "EP") + COUNTIF('Geet MP3 Devotional'!$F$4:$F$5000, "EP")</f>
        <v/>
      </c>
      <c r="D24" s="21">
        <f>IFERROR(C24/$E$16, 0)</f>
        <v/>
      </c>
      <c r="E24" s="20">
        <f>SUMIF('GeetMP3'!$F$4:$F$5000, "EP", 'GeetMP3'!$M$4:$M$5000) + SUMIF('GeetMP3 Punjabi'!$F$4:$F$5000, "EP", 'GeetMP3 Punjabi'!$M$4:$M$5000) + SUMIF('GeetMP3 Haryanvi'!$F$4:$F$5000, "EP", 'GeetMP3 Haryanvi'!$M$4:$M$5000) + SUMIF('Geet MP3 Devotional'!$F$4:$F$5000, "EP", 'Geet MP3 Devotional'!$M$4:$M$5000)</f>
        <v/>
      </c>
      <c r="G24" s="16" t="inlineStr">
        <is>
          <t>Devotional / Sanskrit</t>
        </is>
      </c>
      <c r="H24" s="20">
        <f>COUNTIF('GeetMP3'!$L$4:$L$5000, "Devotional / Sanskrit") + COUNTIF('GeetMP3 Punjabi'!$L$4:$L$5000, "Devotional / Sanskrit") + COUNTIF('GeetMP3 Haryanvi'!$L$4:$L$5000, "Devotional / Sanskrit") + COUNTIF('Geet MP3 Devotional'!$L$4:$L$5000, "Devotional / Sanskrit")</f>
        <v/>
      </c>
      <c r="I24" s="21">
        <f>IFERROR(H24/$E$16, 0)</f>
        <v/>
      </c>
      <c r="J24" s="20">
        <f>SUMIF('GeetMP3'!$L$4:$L$5000, "Devotional / Sanskrit", 'GeetMP3'!$M$4:$M$5000) + SUMIF('GeetMP3 Punjabi'!$L$4:$L$5000, "Devotional / Sanskrit", 'GeetMP3 Punjabi'!$M$4:$M$5000) + SUMIF('GeetMP3 Haryanvi'!$L$4:$L$5000, "Devotional / Sanskrit", 'GeetMP3 Haryanvi'!$M$4:$M$5000) + SUMIF('Geet MP3 Devotional'!$L$4:$L$5000, "Devotional / Sanskrit", 'Geet MP3 Devotional'!$M$4:$M$5000)</f>
        <v/>
      </c>
    </row>
    <row r="25" ht="20" customHeight="1">
      <c r="B25" s="16" t="inlineStr">
        <is>
          <t>Other</t>
        </is>
      </c>
      <c r="C25" s="20">
        <f>COUNTIF('GeetMP3'!$F$4:$F$5000, "Other") + COUNTIF('GeetMP3 Punjabi'!$F$4:$F$5000, "Other") + COUNTIF('GeetMP3 Haryanvi'!$F$4:$F$5000, "Other") + COUNTIF('Geet MP3 Devotional'!$F$4:$F$5000, "Other")</f>
        <v/>
      </c>
      <c r="D25" s="21">
        <f>IFERROR(C25/$E$16, 0)</f>
        <v/>
      </c>
      <c r="E25" s="20">
        <f>SUMIF('GeetMP3'!$F$4:$F$5000, "Other", 'GeetMP3'!$M$4:$M$5000) + SUMIF('GeetMP3 Punjabi'!$F$4:$F$5000, "Other", 'GeetMP3 Punjabi'!$M$4:$M$5000) + SUMIF('GeetMP3 Haryanvi'!$F$4:$F$5000, "Other", 'GeetMP3 Haryanvi'!$M$4:$M$5000) + SUMIF('Geet MP3 Devotional'!$F$4:$F$5000, "Other", 'Geet MP3 Devotional'!$M$4:$M$5000)</f>
        <v/>
      </c>
      <c r="G25" s="16" t="inlineStr">
        <is>
          <t>Other</t>
        </is>
      </c>
      <c r="H25" s="20">
        <f>COUNTIF('GeetMP3'!$L$4:$L$5000, "Other") + COUNTIF('GeetMP3 Punjabi'!$L$4:$L$5000, "Other") + COUNTIF('GeetMP3 Haryanvi'!$L$4:$L$5000, "Other") + COUNTIF('Geet MP3 Devotional'!$L$4:$L$5000, "Other")</f>
        <v/>
      </c>
      <c r="I25" s="21">
        <f>IFERROR(H25/$E$16, 0)</f>
        <v/>
      </c>
      <c r="J25" s="20">
        <f>SUMIF('GeetMP3'!$L$4:$L$5000, "Other", 'GeetMP3'!$M$4:$M$5000) + SUMIF('GeetMP3 Punjabi'!$L$4:$L$5000, "Other", 'GeetMP3 Punjabi'!$M$4:$M$5000) + SUMIF('GeetMP3 Haryanvi'!$L$4:$L$5000, "Other", 'GeetMP3 Haryanvi'!$M$4:$M$5000) + SUMIF('Geet MP3 Devotional'!$L$4:$L$5000, "Other", 'Geet MP3 Devotional'!$M$4:$M$5000)</f>
        <v/>
      </c>
    </row>
    <row r="26">
      <c r="B26" s="26" t="inlineStr">
        <is>
          <t>TOTAL</t>
        </is>
      </c>
      <c r="C26" s="24">
        <f>SUM(C21:C25)</f>
        <v/>
      </c>
      <c r="D26" s="25">
        <f>SUM(D21:D25)</f>
        <v/>
      </c>
      <c r="E26" s="24">
        <f>SUM(E21:E25)</f>
        <v/>
      </c>
      <c r="G26" s="26" t="inlineStr">
        <is>
          <t>TOTAL</t>
        </is>
      </c>
      <c r="H26" s="24">
        <f>SUM(H21:H25)</f>
        <v/>
      </c>
      <c r="I26" s="25">
        <f>SUM(I21:I25)</f>
        <v/>
      </c>
      <c r="J26" s="24">
        <f>SUM(J21:J25)</f>
        <v/>
      </c>
    </row>
    <row r="29">
      <c r="B29" s="14" t="inlineStr">
        <is>
          <t>STREAMING PLATFORM DISTRIBUTION AUDIT</t>
        </is>
      </c>
      <c r="G29" s="14" t="inlineStr">
        <is>
          <t>YEARLY RELEASE CADENCE &amp; PERFORMANCE</t>
        </is>
      </c>
    </row>
    <row r="30" ht="22" customHeight="1">
      <c r="B30" s="15" t="inlineStr">
        <is>
          <t>Platform Name</t>
        </is>
      </c>
      <c r="C30" s="15" t="inlineStr">
        <is>
          <t>Catalog Column</t>
        </is>
      </c>
      <c r="D30" s="15" t="inlineStr">
        <is>
          <t>Tracks Linked</t>
        </is>
      </c>
      <c r="E30" s="15" t="inlineStr">
        <is>
          <t>Catalog Coverage</t>
        </is>
      </c>
      <c r="F30" s="15" t="inlineStr">
        <is>
          <t>Operational Status</t>
        </is>
      </c>
      <c r="G30" s="15" t="inlineStr">
        <is>
          <t>Release Year</t>
        </is>
      </c>
      <c r="H30" s="15" t="inlineStr">
        <is>
          <t>Songs Released</t>
        </is>
      </c>
      <c r="I30" s="15" t="inlineStr">
        <is>
          <t>% Catalog Share</t>
        </is>
      </c>
      <c r="J30" s="15" t="inlineStr">
        <is>
          <t>Total YouTube Views</t>
        </is>
      </c>
    </row>
    <row r="31" ht="20" customHeight="1">
      <c r="B31" s="27" t="inlineStr">
        <is>
          <t>YouTube Video Links</t>
        </is>
      </c>
      <c r="C31" s="28" t="inlineStr">
        <is>
          <t>Col O</t>
        </is>
      </c>
      <c r="D31" s="20">
        <f>COUNTA('GeetMP3'!$O$4:$O$5000) + COUNTA('GeetMP3 Punjabi'!$O$4:$O$5000) + COUNTA('GeetMP3 Haryanvi'!$O$4:$O$5000) + COUNTA('Geet MP3 Devotional'!$O$4:$O$5000)</f>
        <v/>
      </c>
      <c r="E31" s="29">
        <f>IFERROR(D31/$E$16, 0)</f>
        <v/>
      </c>
      <c r="F31" s="30">
        <f>IF(E31&gt;=0.9,"Complete / 90%+","Pending Uploads")</f>
        <v/>
      </c>
      <c r="G31" s="16" t="inlineStr">
        <is>
          <t>2024</t>
        </is>
      </c>
      <c r="H31" s="20">
        <f>COUNTIFS('GeetMP3'!$C$4:$C$5000, "&gt;=2024-01-01", 'GeetMP3'!$C$4:$C$5000, "&lt;=2024-12-31") + COUNTIFS('GeetMP3 Punjabi'!$C$4:$C$5000, "&gt;=2024-01-01", 'GeetMP3 Punjabi'!$C$4:$C$5000, "&lt;=2024-12-31") + COUNTIFS('GeetMP3 Haryanvi'!$C$4:$C$5000, "&gt;=2024-01-01", 'GeetMP3 Haryanvi'!$C$4:$C$5000, "&lt;=2024-12-31") + COUNTIFS('Geet MP3 Devotional'!$C$4:$C$5000, "&gt;=2024-01-01", 'Geet MP3 Devotional'!$C$4:$C$5000, "&lt;=2024-12-31")</f>
        <v/>
      </c>
      <c r="I31" s="21">
        <f>IFERROR(H31/$E$16, 0)</f>
        <v/>
      </c>
      <c r="J31" s="20">
        <f>SUMIFS('GeetMP3'!$M$4:$M$5000, 'GeetMP3'!$C$4:$C$5000, "&gt;=2024-01-01", 'GeetMP3'!$C$4:$C$5000, "&lt;=2024-12-31") + SUMIFS('GeetMP3 Punjabi'!$M$4:$M$5000, 'GeetMP3 Punjabi'!$C$4:$C$5000, "&gt;=2024-01-01", 'GeetMP3 Punjabi'!$C$4:$C$5000, "&lt;=2024-12-31") + SUMIFS('GeetMP3 Haryanvi'!$M$4:$M$5000, 'GeetMP3 Haryanvi'!$C$4:$C$5000, "&gt;=2024-01-01", 'GeetMP3 Haryanvi'!$C$4:$C$5000, "&lt;=2024-12-31") + SUMIFS('Geet MP3 Devotional'!$M$4:$M$5000, 'Geet MP3 Devotional'!$C$4:$C$5000, "&gt;=2024-01-01", 'Geet MP3 Devotional'!$C$4:$C$5000, "&lt;=2024-12-31")</f>
        <v/>
      </c>
    </row>
    <row r="32" ht="20" customHeight="1">
      <c r="B32" s="27" t="inlineStr">
        <is>
          <t>Spotify Track Links</t>
        </is>
      </c>
      <c r="C32" s="28" t="inlineStr">
        <is>
          <t>Col P</t>
        </is>
      </c>
      <c r="D32" s="20">
        <f>COUNTA('GeetMP3'!$P$4:$P$5000) + COUNTA('GeetMP3 Punjabi'!$P$4:$P$5000) + COUNTA('GeetMP3 Haryanvi'!$P$4:$P$5000) + COUNTA('Geet MP3 Devotional'!$P$4:$P$5000)</f>
        <v/>
      </c>
      <c r="E32" s="29">
        <f>IFERROR(D32/$E$16, 0)</f>
        <v/>
      </c>
      <c r="F32" s="30">
        <f>IF(E32&gt;=0.9,"Complete / 90%+","Pending Uploads")</f>
        <v/>
      </c>
      <c r="G32" s="16" t="inlineStr">
        <is>
          <t>2023</t>
        </is>
      </c>
      <c r="H32" s="20">
        <f>COUNTIFS('GeetMP3'!$C$4:$C$5000, "&gt;=2023-01-01", 'GeetMP3'!$C$4:$C$5000, "&lt;=2023-12-31") + COUNTIFS('GeetMP3 Punjabi'!$C$4:$C$5000, "&gt;=2023-01-01", 'GeetMP3 Punjabi'!$C$4:$C$5000, "&lt;=2023-12-31") + COUNTIFS('GeetMP3 Haryanvi'!$C$4:$C$5000, "&gt;=2023-01-01", 'GeetMP3 Haryanvi'!$C$4:$C$5000, "&lt;=2023-12-31") + COUNTIFS('Geet MP3 Devotional'!$C$4:$C$5000, "&gt;=2023-01-01", 'Geet MP3 Devotional'!$C$4:$C$5000, "&lt;=2023-12-31")</f>
        <v/>
      </c>
      <c r="I32" s="21">
        <f>IFERROR(H32/$E$16, 0)</f>
        <v/>
      </c>
      <c r="J32" s="20">
        <f>SUMIFS('GeetMP3'!$M$4:$M$5000, 'GeetMP3'!$C$4:$C$5000, "&gt;=2023-01-01", 'GeetMP3'!$C$4:$C$5000, "&lt;=2023-12-31") + SUMIFS('GeetMP3 Punjabi'!$M$4:$M$5000, 'GeetMP3 Punjabi'!$C$4:$C$5000, "&gt;=2023-01-01", 'GeetMP3 Punjabi'!$C$4:$C$5000, "&lt;=2023-12-31") + SUMIFS('GeetMP3 Haryanvi'!$M$4:$M$5000, 'GeetMP3 Haryanvi'!$C$4:$C$5000, "&gt;=2023-01-01", 'GeetMP3 Haryanvi'!$C$4:$C$5000, "&lt;=2023-12-31") + SUMIFS('Geet MP3 Devotional'!$M$4:$M$5000, 'Geet MP3 Devotional'!$C$4:$C$5000, "&gt;=2023-01-01", 'Geet MP3 Devotional'!$C$4:$C$5000, "&lt;=2023-12-31")</f>
        <v/>
      </c>
    </row>
    <row r="33" ht="20" customHeight="1">
      <c r="B33" s="27" t="inlineStr">
        <is>
          <t>Apple Music Links</t>
        </is>
      </c>
      <c r="C33" s="28" t="inlineStr">
        <is>
          <t>Col Q</t>
        </is>
      </c>
      <c r="D33" s="20">
        <f>COUNTA('GeetMP3'!$Q$4:$Q$5000) + COUNTA('GeetMP3 Punjabi'!$Q$4:$Q$5000) + COUNTA('GeetMP3 Haryanvi'!$Q$4:$Q$5000) + COUNTA('Geet MP3 Devotional'!$Q$4:$Q$5000)</f>
        <v/>
      </c>
      <c r="E33" s="29">
        <f>IFERROR(D33/$E$16, 0)</f>
        <v/>
      </c>
      <c r="F33" s="30">
        <f>IF(E33&gt;=0.9,"Complete / 90%+","Pending Uploads")</f>
        <v/>
      </c>
      <c r="G33" s="16" t="inlineStr">
        <is>
          <t>2022</t>
        </is>
      </c>
      <c r="H33" s="20">
        <f>COUNTIFS('GeetMP3'!$C$4:$C$5000, "&gt;=2022-01-01", 'GeetMP3'!$C$4:$C$5000, "&lt;=2022-12-31") + COUNTIFS('GeetMP3 Punjabi'!$C$4:$C$5000, "&gt;=2022-01-01", 'GeetMP3 Punjabi'!$C$4:$C$5000, "&lt;=2022-12-31") + COUNTIFS('GeetMP3 Haryanvi'!$C$4:$C$5000, "&gt;=2022-01-01", 'GeetMP3 Haryanvi'!$C$4:$C$5000, "&lt;=2022-12-31") + COUNTIFS('Geet MP3 Devotional'!$C$4:$C$5000, "&gt;=2022-01-01", 'Geet MP3 Devotional'!$C$4:$C$5000, "&lt;=2022-12-31")</f>
        <v/>
      </c>
      <c r="I33" s="21">
        <f>IFERROR(H33/$E$16, 0)</f>
        <v/>
      </c>
      <c r="J33" s="20">
        <f>SUMIFS('GeetMP3'!$M$4:$M$5000, 'GeetMP3'!$C$4:$C$5000, "&gt;=2022-01-01", 'GeetMP3'!$C$4:$C$5000, "&lt;=2022-12-31") + SUMIFS('GeetMP3 Punjabi'!$M$4:$M$5000, 'GeetMP3 Punjabi'!$C$4:$C$5000, "&gt;=2022-01-01", 'GeetMP3 Punjabi'!$C$4:$C$5000, "&lt;=2022-12-31") + SUMIFS('GeetMP3 Haryanvi'!$M$4:$M$5000, 'GeetMP3 Haryanvi'!$C$4:$C$5000, "&gt;=2022-01-01", 'GeetMP3 Haryanvi'!$C$4:$C$5000, "&lt;=2022-12-31") + SUMIFS('Geet MP3 Devotional'!$M$4:$M$5000, 'Geet MP3 Devotional'!$C$4:$C$5000, "&gt;=2022-01-01", 'Geet MP3 Devotional'!$C$4:$C$5000, "&lt;=2022-12-31")</f>
        <v/>
      </c>
    </row>
    <row r="34" ht="20" customHeight="1">
      <c r="B34" s="27" t="inlineStr">
        <is>
          <t>JioSaavn Links</t>
        </is>
      </c>
      <c r="C34" s="28" t="inlineStr">
        <is>
          <t>Col R</t>
        </is>
      </c>
      <c r="D34" s="20">
        <f>COUNTA('GeetMP3'!$R$4:$R$5000) + COUNTA('GeetMP3 Punjabi'!$R$4:$R$5000) + COUNTA('GeetMP3 Haryanvi'!$R$4:$R$5000) + COUNTA('Geet MP3 Devotional'!$R$4:$R$5000)</f>
        <v/>
      </c>
      <c r="E34" s="29">
        <f>IFERROR(D34/$E$16, 0)</f>
        <v/>
      </c>
      <c r="F34" s="30">
        <f>IF(E34&gt;=0.9,"Complete / 90%+","Pending Uploads")</f>
        <v/>
      </c>
      <c r="G34" s="16" t="inlineStr">
        <is>
          <t>2021</t>
        </is>
      </c>
      <c r="H34" s="20">
        <f>COUNTIFS('GeetMP3'!$C$4:$C$5000, "&gt;=2021-01-01", 'GeetMP3'!$C$4:$C$5000, "&lt;=2021-12-31") + COUNTIFS('GeetMP3 Punjabi'!$C$4:$C$5000, "&gt;=2021-01-01", 'GeetMP3 Punjabi'!$C$4:$C$5000, "&lt;=2021-12-31") + COUNTIFS('GeetMP3 Haryanvi'!$C$4:$C$5000, "&gt;=2021-01-01", 'GeetMP3 Haryanvi'!$C$4:$C$5000, "&lt;=2021-12-31") + COUNTIFS('Geet MP3 Devotional'!$C$4:$C$5000, "&gt;=2021-01-01", 'Geet MP3 Devotional'!$C$4:$C$5000, "&lt;=2021-12-31")</f>
        <v/>
      </c>
      <c r="I34" s="21">
        <f>IFERROR(H34/$E$16, 0)</f>
        <v/>
      </c>
      <c r="J34" s="20">
        <f>SUMIFS('GeetMP3'!$M$4:$M$5000, 'GeetMP3'!$C$4:$C$5000, "&gt;=2021-01-01", 'GeetMP3'!$C$4:$C$5000, "&lt;=2021-12-31") + SUMIFS('GeetMP3 Punjabi'!$M$4:$M$5000, 'GeetMP3 Punjabi'!$C$4:$C$5000, "&gt;=2021-01-01", 'GeetMP3 Punjabi'!$C$4:$C$5000, "&lt;=2021-12-31") + SUMIFS('GeetMP3 Haryanvi'!$M$4:$M$5000, 'GeetMP3 Haryanvi'!$C$4:$C$5000, "&gt;=2021-01-01", 'GeetMP3 Haryanvi'!$C$4:$C$5000, "&lt;=2021-12-31") + SUMIFS('Geet MP3 Devotional'!$M$4:$M$5000, 'Geet MP3 Devotional'!$C$4:$C$5000, "&gt;=2021-01-01", 'Geet MP3 Devotional'!$C$4:$C$5000, "&lt;=2021-12-31")</f>
        <v/>
      </c>
    </row>
    <row r="35" ht="20" customHeight="1">
      <c r="B35" s="27" t="inlineStr">
        <is>
          <t>Gaana Links</t>
        </is>
      </c>
      <c r="C35" s="28" t="inlineStr">
        <is>
          <t>Col S</t>
        </is>
      </c>
      <c r="D35" s="20">
        <f>COUNTA('GeetMP3'!$S$4:$S$5000) + COUNTA('GeetMP3 Punjabi'!$S$4:$S$5000) + COUNTA('GeetMP3 Haryanvi'!$S$4:$S$5000) + COUNTA('Geet MP3 Devotional'!$S$4:$S$5000)</f>
        <v/>
      </c>
      <c r="E35" s="29">
        <f>IFERROR(D35/$E$16, 0)</f>
        <v/>
      </c>
      <c r="F35" s="30">
        <f>IF(E35&gt;=0.9,"Complete / 90%+","Pending Uploads")</f>
        <v/>
      </c>
      <c r="G35" s="16" t="inlineStr">
        <is>
          <t>2020 &amp; Earlier</t>
        </is>
      </c>
      <c r="H35" s="20">
        <f>COUNTIFS('GeetMP3'!$C$4:$C$5000, "&lt;=2020-12-31", 'GeetMP3'!$C$4:$C$5000, "&gt;1900-01-01") + COUNTIFS('GeetMP3 Punjabi'!$C$4:$C$5000, "&lt;=2020-12-31", 'GeetMP3 Punjabi'!$C$4:$C$5000, "&gt;1900-01-01") + COUNTIFS('GeetMP3 Haryanvi'!$C$4:$C$5000, "&lt;=2020-12-31", 'GeetMP3 Haryanvi'!$C$4:$C$5000, "&gt;1900-01-01") + COUNTIFS('Geet MP3 Devotional'!$C$4:$C$5000, "&lt;=2020-12-31", 'Geet MP3 Devotional'!$C$4:$C$5000, "&gt;1900-01-01")</f>
        <v/>
      </c>
      <c r="I35" s="21">
        <f>IFERROR(H35/$E$16, 0)</f>
        <v/>
      </c>
      <c r="J35" s="20">
        <f>SUMIFS('GeetMP3'!$M$4:$M$5000, 'GeetMP3'!$C$4:$C$5000, "&lt;=2020-12-31") + SUMIFS('GeetMP3 Punjabi'!$M$4:$M$5000, 'GeetMP3 Punjabi'!$C$4:$C$5000, "&lt;=2020-12-31") + SUMIFS('GeetMP3 Haryanvi'!$M$4:$M$5000, 'GeetMP3 Haryanvi'!$C$4:$C$5000, "&lt;=2020-12-31") + SUMIFS('Geet MP3 Devotional'!$M$4:$M$5000, 'Geet MP3 Devotional'!$C$4:$C$5000, "&lt;=2020-12-31")</f>
        <v/>
      </c>
    </row>
    <row r="36" ht="22" customHeight="1">
      <c r="B36" s="27" t="inlineStr">
        <is>
          <t>Instagram Audio Links</t>
        </is>
      </c>
      <c r="C36" s="28" t="inlineStr">
        <is>
          <t>Col T</t>
        </is>
      </c>
      <c r="D36" s="20">
        <f>COUNTA('GeetMP3'!$T$4:$T$5000) + COUNTA('GeetMP3 Punjabi'!$T$4:$T$5000) + COUNTA('GeetMP3 Haryanvi'!$T$4:$T$5000) + COUNTA('Geet MP3 Devotional'!$T$4:$T$5000)</f>
        <v/>
      </c>
      <c r="E36" s="29">
        <f>IFERROR(D36/$E$16, 0)</f>
        <v/>
      </c>
      <c r="F36" s="30">
        <f>IF(E36&gt;=0.9,"Complete / 90%+","Pending Uploads")</f>
        <v/>
      </c>
      <c r="G36" s="26" t="inlineStr">
        <is>
          <t>TOTAL</t>
        </is>
      </c>
      <c r="H36" s="24">
        <f>SUM(H31:H35)</f>
        <v/>
      </c>
      <c r="I36" s="25">
        <f>SUM(I31:I35)</f>
        <v/>
      </c>
      <c r="J36" s="24">
        <f>SUM(J31:J35)</f>
        <v/>
      </c>
    </row>
  </sheetData>
  <mergeCells count="13">
    <mergeCell ref="J5:K5"/>
    <mergeCell ref="H6:I7"/>
    <mergeCell ref="B5:C5"/>
    <mergeCell ref="J6:K7"/>
    <mergeCell ref="F5:G5"/>
    <mergeCell ref="D5:E5"/>
    <mergeCell ref="B16:D16"/>
    <mergeCell ref="D6:E7"/>
    <mergeCell ref="B6:C7"/>
    <mergeCell ref="H5:I5"/>
    <mergeCell ref="F6:G7"/>
    <mergeCell ref="B2:K2"/>
    <mergeCell ref="B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"/>
  <sheetViews>
    <sheetView showGridLines="1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28" customWidth="1" min="4" max="4"/>
    <col width="24" customWidth="1" min="5" max="5"/>
    <col width="16" customWidth="1" min="6" max="6"/>
    <col width="22" customWidth="1" min="7" max="7"/>
    <col width="20" customWidth="1" min="8" max="8"/>
    <col width="20" customWidth="1" min="9" max="9"/>
    <col width="20" customWidth="1" min="10" max="10"/>
    <col width="20" customWidth="1" min="11" max="11"/>
    <col width="18" customWidth="1" min="12" max="12"/>
    <col width="16" customWidth="1" min="13" max="13"/>
    <col width="14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36" customWidth="1" min="21" max="21"/>
  </cols>
  <sheetData>
    <row r="1" ht="28" customHeight="1">
      <c r="A1" s="31" t="inlineStr">
        <is>
          <t>GEETMP3 - GEETMP3 SONG CATALOG &amp; METADATA MANAGEMENT</t>
        </is>
      </c>
      <c r="R1" s="32">
        <f>HYPERLINK("#'Dashboard'!A1", "⬅ Return to Executive Dashboard")</f>
        <v/>
      </c>
    </row>
    <row r="2" ht="18" customHeight="1">
      <c r="A2" s="33" t="inlineStr">
        <is>
          <t>Official GeetMP3 Channel | Mainstream Pop, Superhit Singles &amp; Flagship Releases | Real-time synchronized with central dashboard. Scalable for 10,000+ tracks.</t>
        </is>
      </c>
    </row>
    <row r="3" ht="26" customHeight="1">
      <c r="A3" s="15" t="inlineStr">
        <is>
          <t>Sr. No.</t>
        </is>
      </c>
      <c r="B3" s="15" t="inlineStr">
        <is>
          <t>Label</t>
        </is>
      </c>
      <c r="C3" s="15" t="inlineStr">
        <is>
          <t>Release Date</t>
        </is>
      </c>
      <c r="D3" s="15" t="inlineStr">
        <is>
          <t>Song Name</t>
        </is>
      </c>
      <c r="E3" s="15" t="inlineStr">
        <is>
          <t>Album / Project</t>
        </is>
      </c>
      <c r="F3" s="15" t="inlineStr">
        <is>
          <t>Release Type</t>
        </is>
      </c>
      <c r="G3" s="15" t="inlineStr">
        <is>
          <t>Singer</t>
        </is>
      </c>
      <c r="H3" s="15" t="inlineStr">
        <is>
          <t>Lyricist</t>
        </is>
      </c>
      <c r="I3" s="15" t="inlineStr">
        <is>
          <t>Composer</t>
        </is>
      </c>
      <c r="J3" s="15" t="inlineStr">
        <is>
          <t>Music Director</t>
        </is>
      </c>
      <c r="K3" s="15" t="inlineStr">
        <is>
          <t>Video Director</t>
        </is>
      </c>
      <c r="L3" s="15" t="inlineStr">
        <is>
          <t>Language</t>
        </is>
      </c>
      <c r="M3" s="15" t="inlineStr">
        <is>
          <t>YouTube Views</t>
        </is>
      </c>
      <c r="N3" s="15" t="inlineStr">
        <is>
          <t>Video Duration</t>
        </is>
      </c>
      <c r="O3" s="15" t="inlineStr">
        <is>
          <t>YouTube Link</t>
        </is>
      </c>
      <c r="P3" s="15" t="inlineStr">
        <is>
          <t>Spotify</t>
        </is>
      </c>
      <c r="Q3" s="15" t="inlineStr">
        <is>
          <t>Apple Music</t>
        </is>
      </c>
      <c r="R3" s="15" t="inlineStr">
        <is>
          <t>JioSaavn</t>
        </is>
      </c>
      <c r="S3" s="15" t="inlineStr">
        <is>
          <t>Gaana</t>
        </is>
      </c>
      <c r="T3" s="15" t="inlineStr">
        <is>
          <t>Instagram Audio Link</t>
        </is>
      </c>
      <c r="U3" s="15" t="inlineStr">
        <is>
          <t>Remarks</t>
        </is>
      </c>
    </row>
    <row r="4" ht="20" customHeight="1">
      <c r="A4" s="34" t="n">
        <v>1</v>
      </c>
      <c r="B4" s="35" t="inlineStr">
        <is>
          <t>GeetMP3</t>
        </is>
      </c>
      <c r="C4" s="36" t="n">
        <v>43690</v>
      </c>
      <c r="D4" s="35" t="inlineStr">
        <is>
          <t>Lehanga</t>
        </is>
      </c>
      <c r="E4" s="35" t="inlineStr">
        <is>
          <t>Lehanga</t>
        </is>
      </c>
      <c r="F4" s="34" t="inlineStr">
        <is>
          <t>Single</t>
        </is>
      </c>
      <c r="G4" s="35" t="inlineStr">
        <is>
          <t>Jass Manak</t>
        </is>
      </c>
      <c r="H4" s="35" t="inlineStr">
        <is>
          <t>Jass Manak</t>
        </is>
      </c>
      <c r="I4" s="35" t="inlineStr">
        <is>
          <t>Jass Manak</t>
        </is>
      </c>
      <c r="J4" s="35" t="inlineStr">
        <is>
          <t>Sharry Nexus</t>
        </is>
      </c>
      <c r="K4" s="35" t="inlineStr">
        <is>
          <t>Satti Dhillon</t>
        </is>
      </c>
      <c r="L4" s="34" t="inlineStr">
        <is>
          <t>Punjabi</t>
        </is>
      </c>
      <c r="M4" s="37" t="n">
        <v>1680000000</v>
      </c>
      <c r="N4" s="34" t="inlineStr">
        <is>
          <t>03:45</t>
        </is>
      </c>
      <c r="O4" s="38" t="inlineStr">
        <is>
          <t>https://youtube.com/watch?v=IEDEtZ4UVtE</t>
        </is>
      </c>
      <c r="P4" s="38" t="inlineStr">
        <is>
          <t>https://open.spotify.com/track/4iJyoBOLtH0GxOxHG2j</t>
        </is>
      </c>
      <c r="Q4" s="38" t="inlineStr">
        <is>
          <t>https://music.apple.com/song/lehanga</t>
        </is>
      </c>
      <c r="R4" s="38" t="inlineStr">
        <is>
          <t>https://jiosaavn.com/song/lehanga</t>
        </is>
      </c>
      <c r="S4" s="38" t="inlineStr">
        <is>
          <t>https://gaana.com/song/lehanga</t>
        </is>
      </c>
      <c r="T4" s="38" t="inlineStr">
        <is>
          <t>https://instagram.com/reels/audio/lehanga</t>
        </is>
      </c>
      <c r="U4" s="39" t="inlineStr">
        <is>
          <t>All-time highest streamed track; blockbuster viral reel anthem</t>
        </is>
      </c>
    </row>
    <row r="5" ht="20" customHeight="1">
      <c r="A5" s="40" t="n">
        <v>2</v>
      </c>
      <c r="B5" s="41" t="inlineStr">
        <is>
          <t>GeetMP3</t>
        </is>
      </c>
      <c r="C5" s="42" t="n">
        <v>43416</v>
      </c>
      <c r="D5" s="41" t="inlineStr">
        <is>
          <t>Prada</t>
        </is>
      </c>
      <c r="E5" s="41" t="inlineStr">
        <is>
          <t>Prada</t>
        </is>
      </c>
      <c r="F5" s="40" t="inlineStr">
        <is>
          <t>Single</t>
        </is>
      </c>
      <c r="G5" s="41" t="inlineStr">
        <is>
          <t>Jass Manak</t>
        </is>
      </c>
      <c r="H5" s="41" t="inlineStr">
        <is>
          <t>Jass Manak</t>
        </is>
      </c>
      <c r="I5" s="41" t="inlineStr">
        <is>
          <t>Jass Manak</t>
        </is>
      </c>
      <c r="J5" s="41" t="inlineStr">
        <is>
          <t>Ar Deep</t>
        </is>
      </c>
      <c r="K5" s="41" t="inlineStr">
        <is>
          <t>Satti Dhillon</t>
        </is>
      </c>
      <c r="L5" s="40" t="inlineStr">
        <is>
          <t>Punjabi</t>
        </is>
      </c>
      <c r="M5" s="43" t="n">
        <v>840000000</v>
      </c>
      <c r="N5" s="40" t="inlineStr">
        <is>
          <t>03:28</t>
        </is>
      </c>
      <c r="O5" s="44" t="inlineStr">
        <is>
          <t>https://youtube.com/watch?v=dZ0fwJojhrs</t>
        </is>
      </c>
      <c r="P5" s="44" t="inlineStr">
        <is>
          <t>https://open.spotify.com/track/prada</t>
        </is>
      </c>
      <c r="Q5" s="44" t="inlineStr">
        <is>
          <t>https://music.apple.com/song/prada</t>
        </is>
      </c>
      <c r="R5" s="44" t="inlineStr">
        <is>
          <t>https://jiosaavn.com/song/prada</t>
        </is>
      </c>
      <c r="S5" s="44" t="inlineStr">
        <is>
          <t>https://gaana.com/song/prada</t>
        </is>
      </c>
      <c r="T5" s="44" t="inlineStr">
        <is>
          <t>https://instagram.com/reels/audio/prada</t>
        </is>
      </c>
      <c r="U5" s="45" t="inlineStr">
        <is>
          <t>Breakthrough debut hit of Jass Manak</t>
        </is>
      </c>
    </row>
    <row r="6" ht="20" customHeight="1">
      <c r="A6" s="34" t="n">
        <v>3</v>
      </c>
      <c r="B6" s="35" t="inlineStr">
        <is>
          <t>GeetMP3</t>
        </is>
      </c>
      <c r="C6" s="36" t="n">
        <v>43875</v>
      </c>
      <c r="D6" s="35" t="inlineStr">
        <is>
          <t>Suit Punjabi</t>
        </is>
      </c>
      <c r="E6" s="35" t="inlineStr">
        <is>
          <t>Age 19</t>
        </is>
      </c>
      <c r="F6" s="34" t="inlineStr">
        <is>
          <t>Album</t>
        </is>
      </c>
      <c r="G6" s="35" t="inlineStr">
        <is>
          <t>Jass Manak</t>
        </is>
      </c>
      <c r="H6" s="35" t="inlineStr">
        <is>
          <t>Jass Manak</t>
        </is>
      </c>
      <c r="I6" s="35" t="inlineStr">
        <is>
          <t>Jass Manak</t>
        </is>
      </c>
      <c r="J6" s="35" t="inlineStr">
        <is>
          <t>Sharry Nexus</t>
        </is>
      </c>
      <c r="K6" s="35" t="inlineStr">
        <is>
          <t>Satti Dhillon</t>
        </is>
      </c>
      <c r="L6" s="34" t="inlineStr">
        <is>
          <t>Punjabi</t>
        </is>
      </c>
      <c r="M6" s="37" t="n">
        <v>390000000</v>
      </c>
      <c r="N6" s="34" t="inlineStr">
        <is>
          <t>03:15</t>
        </is>
      </c>
      <c r="O6" s="38" t="inlineStr">
        <is>
          <t>https://youtube.com/watch?v=suitpunjabi</t>
        </is>
      </c>
      <c r="P6" s="38" t="inlineStr">
        <is>
          <t>https://open.spotify.com/track/suitpunjabi</t>
        </is>
      </c>
      <c r="Q6" s="38" t="inlineStr">
        <is>
          <t>https://music.apple.com/song/suitpunjabi</t>
        </is>
      </c>
      <c r="R6" s="38" t="inlineStr">
        <is>
          <t>https://jiosaavn.com/song/suitpunjabi</t>
        </is>
      </c>
      <c r="S6" s="38" t="inlineStr">
        <is>
          <t>https://gaana.com/song/suitpunjabi</t>
        </is>
      </c>
      <c r="T6" s="38" t="inlineStr">
        <is>
          <t>https://instagram.com/reels/audio/suitpunjabi</t>
        </is>
      </c>
      <c r="U6" s="39" t="inlineStr">
        <is>
          <t>Featured track on Age 19 album</t>
        </is>
      </c>
    </row>
    <row r="7" ht="20" customHeight="1">
      <c r="A7" s="40" t="n">
        <v>4</v>
      </c>
      <c r="B7" s="41" t="inlineStr">
        <is>
          <t>GeetMP3</t>
        </is>
      </c>
      <c r="C7" s="42" t="n">
        <v>43105</v>
      </c>
      <c r="D7" s="41" t="inlineStr">
        <is>
          <t>Yaar Beli</t>
        </is>
      </c>
      <c r="E7" s="41" t="inlineStr">
        <is>
          <t>Yaar Beli</t>
        </is>
      </c>
      <c r="F7" s="40" t="inlineStr">
        <is>
          <t>Single</t>
        </is>
      </c>
      <c r="G7" s="41" t="inlineStr">
        <is>
          <t>Guri</t>
        </is>
      </c>
      <c r="H7" s="41" t="inlineStr">
        <is>
          <t>Avtar Dhaliwal</t>
        </is>
      </c>
      <c r="I7" s="41" t="inlineStr">
        <is>
          <t>Deep Jandu</t>
        </is>
      </c>
      <c r="J7" s="41" t="inlineStr">
        <is>
          <t>Deep Jandu</t>
        </is>
      </c>
      <c r="K7" s="41" t="inlineStr">
        <is>
          <t>Parmish Verma</t>
        </is>
      </c>
      <c r="L7" s="40" t="inlineStr">
        <is>
          <t>Punjabi</t>
        </is>
      </c>
      <c r="M7" s="43" t="n">
        <v>295000000</v>
      </c>
      <c r="N7" s="40" t="inlineStr">
        <is>
          <t>03:40</t>
        </is>
      </c>
      <c r="O7" s="44" t="inlineStr">
        <is>
          <t>https://youtube.com/watch?v=yaar_beli</t>
        </is>
      </c>
      <c r="P7" s="44" t="inlineStr">
        <is>
          <t>https://open.spotify.com/track/yaar_beli</t>
        </is>
      </c>
      <c r="Q7" s="44" t="inlineStr">
        <is>
          <t>https://music.apple.com/song/yaar_beli</t>
        </is>
      </c>
      <c r="R7" s="44" t="inlineStr">
        <is>
          <t>https://jiosaavn.com/song/yaar_beli</t>
        </is>
      </c>
      <c r="S7" s="44" t="inlineStr">
        <is>
          <t>https://gaana.com/song/yaar_beli</t>
        </is>
      </c>
      <c r="T7" s="44" t="inlineStr">
        <is>
          <t>https://instagram.com/reels/audio/yaar_beli</t>
        </is>
      </c>
      <c r="U7" s="45" t="inlineStr">
        <is>
          <t>Foundational hit for Guri on GeetMP3 label</t>
        </is>
      </c>
    </row>
    <row r="8" ht="20" customHeight="1">
      <c r="A8" s="34" t="n">
        <v>5</v>
      </c>
      <c r="B8" s="35" t="inlineStr">
        <is>
          <t>GeetMP3</t>
        </is>
      </c>
      <c r="C8" s="36" t="n">
        <v>44367</v>
      </c>
      <c r="D8" s="35" t="inlineStr">
        <is>
          <t>Chete Karda</t>
        </is>
      </c>
      <c r="E8" s="35" t="inlineStr">
        <is>
          <t>Bad Munda</t>
        </is>
      </c>
      <c r="F8" s="34" t="inlineStr">
        <is>
          <t>Album</t>
        </is>
      </c>
      <c r="G8" s="35" t="inlineStr">
        <is>
          <t>Jass Manak</t>
        </is>
      </c>
      <c r="H8" s="35" t="inlineStr">
        <is>
          <t>Jass Manak</t>
        </is>
      </c>
      <c r="I8" s="35" t="inlineStr">
        <is>
          <t>Jass Manak</t>
        </is>
      </c>
      <c r="J8" s="35" t="inlineStr">
        <is>
          <t>Game Changerz</t>
        </is>
      </c>
      <c r="K8" s="35" t="inlineStr">
        <is>
          <t>Satti Dhillon</t>
        </is>
      </c>
      <c r="L8" s="34" t="inlineStr">
        <is>
          <t>Punjabi</t>
        </is>
      </c>
      <c r="M8" s="37" t="n">
        <v>185000000</v>
      </c>
      <c r="N8" s="34" t="inlineStr">
        <is>
          <t>03:32</t>
        </is>
      </c>
      <c r="O8" s="38" t="inlineStr">
        <is>
          <t>https://youtube.com/watch?v=chete_karda</t>
        </is>
      </c>
      <c r="P8" s="38" t="inlineStr">
        <is>
          <t>https://open.spotify.com/track/chete_karda</t>
        </is>
      </c>
      <c r="Q8" s="38" t="inlineStr">
        <is>
          <t>https://music.apple.com/song/chete_karda</t>
        </is>
      </c>
      <c r="R8" s="38" t="inlineStr">
        <is>
          <t>https://jiosaavn.com/song/chete_karda</t>
        </is>
      </c>
      <c r="S8" s="38" t="inlineStr">
        <is>
          <t>https://gaana.com/song/chete_karda</t>
        </is>
      </c>
      <c r="T8" s="38" t="inlineStr">
        <is>
          <t>https://instagram.com/reels/audio/chete_karda</t>
        </is>
      </c>
      <c r="U8" s="39" t="inlineStr">
        <is>
          <t>Lead romantic single from Bad Munda album</t>
        </is>
      </c>
    </row>
    <row r="9" ht="20" customHeight="1">
      <c r="A9" s="40">
        <f>IF(D9&lt;&gt;"",ROW()-3,"")</f>
        <v/>
      </c>
      <c r="B9" s="41">
        <f>IF(D9&lt;&gt;"", "GeetMP3", "")</f>
        <v/>
      </c>
      <c r="C9" s="42" t="n"/>
      <c r="D9" s="41" t="n"/>
      <c r="E9" s="41" t="n"/>
      <c r="F9" s="40" t="n"/>
      <c r="G9" s="41" t="n"/>
      <c r="H9" s="41" t="n"/>
      <c r="I9" s="41" t="n"/>
      <c r="J9" s="41" t="n"/>
      <c r="K9" s="41" t="n"/>
      <c r="L9" s="40" t="n"/>
      <c r="M9" s="46" t="n"/>
      <c r="N9" s="40" t="n"/>
      <c r="O9" s="41" t="n"/>
      <c r="P9" s="41" t="n"/>
      <c r="Q9" s="41" t="n"/>
      <c r="R9" s="41" t="n"/>
      <c r="S9" s="41" t="n"/>
      <c r="T9" s="41" t="n"/>
      <c r="U9" s="45" t="n"/>
    </row>
    <row r="10" ht="20" customHeight="1">
      <c r="A10" s="34">
        <f>IF(D10&lt;&gt;"",ROW()-3,"")</f>
        <v/>
      </c>
      <c r="B10" s="35">
        <f>IF(D10&lt;&gt;"", "GeetMP3", "")</f>
        <v/>
      </c>
      <c r="C10" s="36" t="n"/>
      <c r="D10" s="35" t="n"/>
      <c r="E10" s="35" t="n"/>
      <c r="F10" s="34" t="n"/>
      <c r="G10" s="35" t="n"/>
      <c r="H10" s="35" t="n"/>
      <c r="I10" s="35" t="n"/>
      <c r="J10" s="35" t="n"/>
      <c r="K10" s="35" t="n"/>
      <c r="L10" s="34" t="n"/>
      <c r="M10" s="47" t="n"/>
      <c r="N10" s="34" t="n"/>
      <c r="O10" s="35" t="n"/>
      <c r="P10" s="35" t="n"/>
      <c r="Q10" s="35" t="n"/>
      <c r="R10" s="35" t="n"/>
      <c r="S10" s="35" t="n"/>
      <c r="T10" s="35" t="n"/>
      <c r="U10" s="39" t="n"/>
    </row>
    <row r="11" ht="20" customHeight="1">
      <c r="A11" s="40">
        <f>IF(D11&lt;&gt;"",ROW()-3,"")</f>
        <v/>
      </c>
      <c r="B11" s="41">
        <f>IF(D11&lt;&gt;"", "GeetMP3", "")</f>
        <v/>
      </c>
      <c r="C11" s="42" t="n"/>
      <c r="D11" s="41" t="n"/>
      <c r="E11" s="41" t="n"/>
      <c r="F11" s="40" t="n"/>
      <c r="G11" s="41" t="n"/>
      <c r="H11" s="41" t="n"/>
      <c r="I11" s="41" t="n"/>
      <c r="J11" s="41" t="n"/>
      <c r="K11" s="41" t="n"/>
      <c r="L11" s="40" t="n"/>
      <c r="M11" s="46" t="n"/>
      <c r="N11" s="40" t="n"/>
      <c r="O11" s="41" t="n"/>
      <c r="P11" s="41" t="n"/>
      <c r="Q11" s="41" t="n"/>
      <c r="R11" s="41" t="n"/>
      <c r="S11" s="41" t="n"/>
      <c r="T11" s="41" t="n"/>
      <c r="U11" s="45" t="n"/>
    </row>
    <row r="12" ht="20" customHeight="1">
      <c r="A12" s="34">
        <f>IF(D12&lt;&gt;"",ROW()-3,"")</f>
        <v/>
      </c>
      <c r="B12" s="35">
        <f>IF(D12&lt;&gt;"", "GeetMP3", "")</f>
        <v/>
      </c>
      <c r="C12" s="36" t="n"/>
      <c r="D12" s="35" t="n"/>
      <c r="E12" s="35" t="n"/>
      <c r="F12" s="34" t="n"/>
      <c r="G12" s="35" t="n"/>
      <c r="H12" s="35" t="n"/>
      <c r="I12" s="35" t="n"/>
      <c r="J12" s="35" t="n"/>
      <c r="K12" s="35" t="n"/>
      <c r="L12" s="34" t="n"/>
      <c r="M12" s="47" t="n"/>
      <c r="N12" s="34" t="n"/>
      <c r="O12" s="35" t="n"/>
      <c r="P12" s="35" t="n"/>
      <c r="Q12" s="35" t="n"/>
      <c r="R12" s="35" t="n"/>
      <c r="S12" s="35" t="n"/>
      <c r="T12" s="35" t="n"/>
      <c r="U12" s="39" t="n"/>
    </row>
    <row r="13" ht="20" customHeight="1">
      <c r="A13" s="40">
        <f>IF(D13&lt;&gt;"",ROW()-3,"")</f>
        <v/>
      </c>
      <c r="B13" s="41">
        <f>IF(D13&lt;&gt;"", "GeetMP3", "")</f>
        <v/>
      </c>
      <c r="C13" s="42" t="n"/>
      <c r="D13" s="41" t="n"/>
      <c r="E13" s="41" t="n"/>
      <c r="F13" s="40" t="n"/>
      <c r="G13" s="41" t="n"/>
      <c r="H13" s="41" t="n"/>
      <c r="I13" s="41" t="n"/>
      <c r="J13" s="41" t="n"/>
      <c r="K13" s="41" t="n"/>
      <c r="L13" s="40" t="n"/>
      <c r="M13" s="46" t="n"/>
      <c r="N13" s="40" t="n"/>
      <c r="O13" s="41" t="n"/>
      <c r="P13" s="41" t="n"/>
      <c r="Q13" s="41" t="n"/>
      <c r="R13" s="41" t="n"/>
      <c r="S13" s="41" t="n"/>
      <c r="T13" s="41" t="n"/>
      <c r="U13" s="45" t="n"/>
    </row>
    <row r="14" ht="20" customHeight="1">
      <c r="A14" s="34">
        <f>IF(D14&lt;&gt;"",ROW()-3,"")</f>
        <v/>
      </c>
      <c r="B14" s="35">
        <f>IF(D14&lt;&gt;"", "GeetMP3", "")</f>
        <v/>
      </c>
      <c r="C14" s="36" t="n"/>
      <c r="D14" s="35" t="n"/>
      <c r="E14" s="35" t="n"/>
      <c r="F14" s="34" t="n"/>
      <c r="G14" s="35" t="n"/>
      <c r="H14" s="35" t="n"/>
      <c r="I14" s="35" t="n"/>
      <c r="J14" s="35" t="n"/>
      <c r="K14" s="35" t="n"/>
      <c r="L14" s="34" t="n"/>
      <c r="M14" s="47" t="n"/>
      <c r="N14" s="34" t="n"/>
      <c r="O14" s="35" t="n"/>
      <c r="P14" s="35" t="n"/>
      <c r="Q14" s="35" t="n"/>
      <c r="R14" s="35" t="n"/>
      <c r="S14" s="35" t="n"/>
      <c r="T14" s="35" t="n"/>
      <c r="U14" s="39" t="n"/>
    </row>
    <row r="15" ht="20" customHeight="1">
      <c r="A15" s="40">
        <f>IF(D15&lt;&gt;"",ROW()-3,"")</f>
        <v/>
      </c>
      <c r="B15" s="41">
        <f>IF(D15&lt;&gt;"", "GeetMP3", "")</f>
        <v/>
      </c>
      <c r="C15" s="42" t="n"/>
      <c r="D15" s="41" t="n"/>
      <c r="E15" s="41" t="n"/>
      <c r="F15" s="40" t="n"/>
      <c r="G15" s="41" t="n"/>
      <c r="H15" s="41" t="n"/>
      <c r="I15" s="41" t="n"/>
      <c r="J15" s="41" t="n"/>
      <c r="K15" s="41" t="n"/>
      <c r="L15" s="40" t="n"/>
      <c r="M15" s="46" t="n"/>
      <c r="N15" s="40" t="n"/>
      <c r="O15" s="41" t="n"/>
      <c r="P15" s="41" t="n"/>
      <c r="Q15" s="41" t="n"/>
      <c r="R15" s="41" t="n"/>
      <c r="S15" s="41" t="n"/>
      <c r="T15" s="41" t="n"/>
      <c r="U15" s="45" t="n"/>
    </row>
    <row r="16" ht="20" customHeight="1">
      <c r="A16" s="34">
        <f>IF(D16&lt;&gt;"",ROW()-3,"")</f>
        <v/>
      </c>
      <c r="B16" s="35">
        <f>IF(D16&lt;&gt;"", "GeetMP3", "")</f>
        <v/>
      </c>
      <c r="C16" s="36" t="n"/>
      <c r="D16" s="35" t="n"/>
      <c r="E16" s="35" t="n"/>
      <c r="F16" s="34" t="n"/>
      <c r="G16" s="35" t="n"/>
      <c r="H16" s="35" t="n"/>
      <c r="I16" s="35" t="n"/>
      <c r="J16" s="35" t="n"/>
      <c r="K16" s="35" t="n"/>
      <c r="L16" s="34" t="n"/>
      <c r="M16" s="47" t="n"/>
      <c r="N16" s="34" t="n"/>
      <c r="O16" s="35" t="n"/>
      <c r="P16" s="35" t="n"/>
      <c r="Q16" s="35" t="n"/>
      <c r="R16" s="35" t="n"/>
      <c r="S16" s="35" t="n"/>
      <c r="T16" s="35" t="n"/>
      <c r="U16" s="39" t="n"/>
    </row>
    <row r="17" ht="20" customHeight="1">
      <c r="A17" s="40">
        <f>IF(D17&lt;&gt;"",ROW()-3,"")</f>
        <v/>
      </c>
      <c r="B17" s="41">
        <f>IF(D17&lt;&gt;"", "GeetMP3", "")</f>
        <v/>
      </c>
      <c r="C17" s="42" t="n"/>
      <c r="D17" s="41" t="n"/>
      <c r="E17" s="41" t="n"/>
      <c r="F17" s="40" t="n"/>
      <c r="G17" s="41" t="n"/>
      <c r="H17" s="41" t="n"/>
      <c r="I17" s="41" t="n"/>
      <c r="J17" s="41" t="n"/>
      <c r="K17" s="41" t="n"/>
      <c r="L17" s="40" t="n"/>
      <c r="M17" s="46" t="n"/>
      <c r="N17" s="40" t="n"/>
      <c r="O17" s="41" t="n"/>
      <c r="P17" s="41" t="n"/>
      <c r="Q17" s="41" t="n"/>
      <c r="R17" s="41" t="n"/>
      <c r="S17" s="41" t="n"/>
      <c r="T17" s="41" t="n"/>
      <c r="U17" s="45" t="n"/>
    </row>
    <row r="18" ht="20" customHeight="1">
      <c r="A18" s="34">
        <f>IF(D18&lt;&gt;"",ROW()-3,"")</f>
        <v/>
      </c>
      <c r="B18" s="35">
        <f>IF(D18&lt;&gt;"", "GeetMP3", "")</f>
        <v/>
      </c>
      <c r="C18" s="36" t="n"/>
      <c r="D18" s="35" t="n"/>
      <c r="E18" s="35" t="n"/>
      <c r="F18" s="34" t="n"/>
      <c r="G18" s="35" t="n"/>
      <c r="H18" s="35" t="n"/>
      <c r="I18" s="35" t="n"/>
      <c r="J18" s="35" t="n"/>
      <c r="K18" s="35" t="n"/>
      <c r="L18" s="34" t="n"/>
      <c r="M18" s="47" t="n"/>
      <c r="N18" s="34" t="n"/>
      <c r="O18" s="35" t="n"/>
      <c r="P18" s="35" t="n"/>
      <c r="Q18" s="35" t="n"/>
      <c r="R18" s="35" t="n"/>
      <c r="S18" s="35" t="n"/>
      <c r="T18" s="35" t="n"/>
      <c r="U18" s="39" t="n"/>
    </row>
    <row r="19" ht="20" customHeight="1">
      <c r="A19" s="40">
        <f>IF(D19&lt;&gt;"",ROW()-3,"")</f>
        <v/>
      </c>
      <c r="B19" s="41">
        <f>IF(D19&lt;&gt;"", "GeetMP3", "")</f>
        <v/>
      </c>
      <c r="C19" s="42" t="n"/>
      <c r="D19" s="41" t="n"/>
      <c r="E19" s="41" t="n"/>
      <c r="F19" s="40" t="n"/>
      <c r="G19" s="41" t="n"/>
      <c r="H19" s="41" t="n"/>
      <c r="I19" s="41" t="n"/>
      <c r="J19" s="41" t="n"/>
      <c r="K19" s="41" t="n"/>
      <c r="L19" s="40" t="n"/>
      <c r="M19" s="46" t="n"/>
      <c r="N19" s="40" t="n"/>
      <c r="O19" s="41" t="n"/>
      <c r="P19" s="41" t="n"/>
      <c r="Q19" s="41" t="n"/>
      <c r="R19" s="41" t="n"/>
      <c r="S19" s="41" t="n"/>
      <c r="T19" s="41" t="n"/>
      <c r="U19" s="45" t="n"/>
    </row>
    <row r="20" ht="20" customHeight="1">
      <c r="A20" s="34">
        <f>IF(D20&lt;&gt;"",ROW()-3,"")</f>
        <v/>
      </c>
      <c r="B20" s="35">
        <f>IF(D20&lt;&gt;"", "GeetMP3", "")</f>
        <v/>
      </c>
      <c r="C20" s="36" t="n"/>
      <c r="D20" s="35" t="n"/>
      <c r="E20" s="35" t="n"/>
      <c r="F20" s="34" t="n"/>
      <c r="G20" s="35" t="n"/>
      <c r="H20" s="35" t="n"/>
      <c r="I20" s="35" t="n"/>
      <c r="J20" s="35" t="n"/>
      <c r="K20" s="35" t="n"/>
      <c r="L20" s="34" t="n"/>
      <c r="M20" s="47" t="n"/>
      <c r="N20" s="34" t="n"/>
      <c r="O20" s="35" t="n"/>
      <c r="P20" s="35" t="n"/>
      <c r="Q20" s="35" t="n"/>
      <c r="R20" s="35" t="n"/>
      <c r="S20" s="35" t="n"/>
      <c r="T20" s="35" t="n"/>
      <c r="U20" s="39" t="n"/>
    </row>
    <row r="21" ht="20" customHeight="1">
      <c r="A21" s="40">
        <f>IF(D21&lt;&gt;"",ROW()-3,"")</f>
        <v/>
      </c>
      <c r="B21" s="41">
        <f>IF(D21&lt;&gt;"", "GeetMP3", "")</f>
        <v/>
      </c>
      <c r="C21" s="42" t="n"/>
      <c r="D21" s="41" t="n"/>
      <c r="E21" s="41" t="n"/>
      <c r="F21" s="40" t="n"/>
      <c r="G21" s="41" t="n"/>
      <c r="H21" s="41" t="n"/>
      <c r="I21" s="41" t="n"/>
      <c r="J21" s="41" t="n"/>
      <c r="K21" s="41" t="n"/>
      <c r="L21" s="40" t="n"/>
      <c r="M21" s="46" t="n"/>
      <c r="N21" s="40" t="n"/>
      <c r="O21" s="41" t="n"/>
      <c r="P21" s="41" t="n"/>
      <c r="Q21" s="41" t="n"/>
      <c r="R21" s="41" t="n"/>
      <c r="S21" s="41" t="n"/>
      <c r="T21" s="41" t="n"/>
      <c r="U21" s="45" t="n"/>
    </row>
    <row r="22" ht="20" customHeight="1">
      <c r="A22" s="34">
        <f>IF(D22&lt;&gt;"",ROW()-3,"")</f>
        <v/>
      </c>
      <c r="B22" s="35">
        <f>IF(D22&lt;&gt;"", "GeetMP3", "")</f>
        <v/>
      </c>
      <c r="C22" s="36" t="n"/>
      <c r="D22" s="35" t="n"/>
      <c r="E22" s="35" t="n"/>
      <c r="F22" s="34" t="n"/>
      <c r="G22" s="35" t="n"/>
      <c r="H22" s="35" t="n"/>
      <c r="I22" s="35" t="n"/>
      <c r="J22" s="35" t="n"/>
      <c r="K22" s="35" t="n"/>
      <c r="L22" s="34" t="n"/>
      <c r="M22" s="47" t="n"/>
      <c r="N22" s="34" t="n"/>
      <c r="O22" s="35" t="n"/>
      <c r="P22" s="35" t="n"/>
      <c r="Q22" s="35" t="n"/>
      <c r="R22" s="35" t="n"/>
      <c r="S22" s="35" t="n"/>
      <c r="T22" s="35" t="n"/>
      <c r="U22" s="39" t="n"/>
    </row>
    <row r="23" ht="20" customHeight="1">
      <c r="A23" s="40">
        <f>IF(D23&lt;&gt;"",ROW()-3,"")</f>
        <v/>
      </c>
      <c r="B23" s="41">
        <f>IF(D23&lt;&gt;"", "GeetMP3", "")</f>
        <v/>
      </c>
      <c r="C23" s="42" t="n"/>
      <c r="D23" s="41" t="n"/>
      <c r="E23" s="41" t="n"/>
      <c r="F23" s="40" t="n"/>
      <c r="G23" s="41" t="n"/>
      <c r="H23" s="41" t="n"/>
      <c r="I23" s="41" t="n"/>
      <c r="J23" s="41" t="n"/>
      <c r="K23" s="41" t="n"/>
      <c r="L23" s="40" t="n"/>
      <c r="M23" s="46" t="n"/>
      <c r="N23" s="40" t="n"/>
      <c r="O23" s="41" t="n"/>
      <c r="P23" s="41" t="n"/>
      <c r="Q23" s="41" t="n"/>
      <c r="R23" s="41" t="n"/>
      <c r="S23" s="41" t="n"/>
      <c r="T23" s="41" t="n"/>
      <c r="U23" s="45" t="n"/>
    </row>
    <row r="24" ht="20" customHeight="1">
      <c r="A24" s="34">
        <f>IF(D24&lt;&gt;"",ROW()-3,"")</f>
        <v/>
      </c>
      <c r="B24" s="35">
        <f>IF(D24&lt;&gt;"", "GeetMP3", "")</f>
        <v/>
      </c>
      <c r="C24" s="36" t="n"/>
      <c r="D24" s="35" t="n"/>
      <c r="E24" s="35" t="n"/>
      <c r="F24" s="34" t="n"/>
      <c r="G24" s="35" t="n"/>
      <c r="H24" s="35" t="n"/>
      <c r="I24" s="35" t="n"/>
      <c r="J24" s="35" t="n"/>
      <c r="K24" s="35" t="n"/>
      <c r="L24" s="34" t="n"/>
      <c r="M24" s="47" t="n"/>
      <c r="N24" s="34" t="n"/>
      <c r="O24" s="35" t="n"/>
      <c r="P24" s="35" t="n"/>
      <c r="Q24" s="35" t="n"/>
      <c r="R24" s="35" t="n"/>
      <c r="S24" s="35" t="n"/>
      <c r="T24" s="35" t="n"/>
      <c r="U24" s="39" t="n"/>
    </row>
    <row r="25" ht="20" customHeight="1">
      <c r="A25" s="40">
        <f>IF(D25&lt;&gt;"",ROW()-3,"")</f>
        <v/>
      </c>
      <c r="B25" s="41">
        <f>IF(D25&lt;&gt;"", "GeetMP3", "")</f>
        <v/>
      </c>
      <c r="C25" s="42" t="n"/>
      <c r="D25" s="41" t="n"/>
      <c r="E25" s="41" t="n"/>
      <c r="F25" s="40" t="n"/>
      <c r="G25" s="41" t="n"/>
      <c r="H25" s="41" t="n"/>
      <c r="I25" s="41" t="n"/>
      <c r="J25" s="41" t="n"/>
      <c r="K25" s="41" t="n"/>
      <c r="L25" s="40" t="n"/>
      <c r="M25" s="46" t="n"/>
      <c r="N25" s="40" t="n"/>
      <c r="O25" s="41" t="n"/>
      <c r="P25" s="41" t="n"/>
      <c r="Q25" s="41" t="n"/>
      <c r="R25" s="41" t="n"/>
      <c r="S25" s="41" t="n"/>
      <c r="T25" s="41" t="n"/>
      <c r="U25" s="45" t="n"/>
    </row>
    <row r="26" ht="20" customHeight="1">
      <c r="A26" s="34">
        <f>IF(D26&lt;&gt;"",ROW()-3,"")</f>
        <v/>
      </c>
      <c r="B26" s="35">
        <f>IF(D26&lt;&gt;"", "GeetMP3", "")</f>
        <v/>
      </c>
      <c r="C26" s="36" t="n"/>
      <c r="D26" s="35" t="n"/>
      <c r="E26" s="35" t="n"/>
      <c r="F26" s="34" t="n"/>
      <c r="G26" s="35" t="n"/>
      <c r="H26" s="35" t="n"/>
      <c r="I26" s="35" t="n"/>
      <c r="J26" s="35" t="n"/>
      <c r="K26" s="35" t="n"/>
      <c r="L26" s="34" t="n"/>
      <c r="M26" s="47" t="n"/>
      <c r="N26" s="34" t="n"/>
      <c r="O26" s="35" t="n"/>
      <c r="P26" s="35" t="n"/>
      <c r="Q26" s="35" t="n"/>
      <c r="R26" s="35" t="n"/>
      <c r="S26" s="35" t="n"/>
      <c r="T26" s="35" t="n"/>
      <c r="U26" s="39" t="n"/>
    </row>
    <row r="27" ht="20" customHeight="1">
      <c r="A27" s="40">
        <f>IF(D27&lt;&gt;"",ROW()-3,"")</f>
        <v/>
      </c>
      <c r="B27" s="41">
        <f>IF(D27&lt;&gt;"", "GeetMP3", "")</f>
        <v/>
      </c>
      <c r="C27" s="42" t="n"/>
      <c r="D27" s="41" t="n"/>
      <c r="E27" s="41" t="n"/>
      <c r="F27" s="40" t="n"/>
      <c r="G27" s="41" t="n"/>
      <c r="H27" s="41" t="n"/>
      <c r="I27" s="41" t="n"/>
      <c r="J27" s="41" t="n"/>
      <c r="K27" s="41" t="n"/>
      <c r="L27" s="40" t="n"/>
      <c r="M27" s="46" t="n"/>
      <c r="N27" s="40" t="n"/>
      <c r="O27" s="41" t="n"/>
      <c r="P27" s="41" t="n"/>
      <c r="Q27" s="41" t="n"/>
      <c r="R27" s="41" t="n"/>
      <c r="S27" s="41" t="n"/>
      <c r="T27" s="41" t="n"/>
      <c r="U27" s="45" t="n"/>
    </row>
    <row r="28" ht="20" customHeight="1">
      <c r="A28" s="34">
        <f>IF(D28&lt;&gt;"",ROW()-3,"")</f>
        <v/>
      </c>
      <c r="B28" s="35">
        <f>IF(D28&lt;&gt;"", "GeetMP3", "")</f>
        <v/>
      </c>
      <c r="C28" s="36" t="n"/>
      <c r="D28" s="35" t="n"/>
      <c r="E28" s="35" t="n"/>
      <c r="F28" s="34" t="n"/>
      <c r="G28" s="35" t="n"/>
      <c r="H28" s="35" t="n"/>
      <c r="I28" s="35" t="n"/>
      <c r="J28" s="35" t="n"/>
      <c r="K28" s="35" t="n"/>
      <c r="L28" s="34" t="n"/>
      <c r="M28" s="47" t="n"/>
      <c r="N28" s="34" t="n"/>
      <c r="O28" s="35" t="n"/>
      <c r="P28" s="35" t="n"/>
      <c r="Q28" s="35" t="n"/>
      <c r="R28" s="35" t="n"/>
      <c r="S28" s="35" t="n"/>
      <c r="T28" s="35" t="n"/>
      <c r="U28" s="39" t="n"/>
    </row>
    <row r="29" ht="20" customHeight="1">
      <c r="A29" s="40">
        <f>IF(D29&lt;&gt;"",ROW()-3,"")</f>
        <v/>
      </c>
      <c r="B29" s="41">
        <f>IF(D29&lt;&gt;"", "GeetMP3", "")</f>
        <v/>
      </c>
      <c r="C29" s="42" t="n"/>
      <c r="D29" s="41" t="n"/>
      <c r="E29" s="41" t="n"/>
      <c r="F29" s="40" t="n"/>
      <c r="G29" s="41" t="n"/>
      <c r="H29" s="41" t="n"/>
      <c r="I29" s="41" t="n"/>
      <c r="J29" s="41" t="n"/>
      <c r="K29" s="41" t="n"/>
      <c r="L29" s="40" t="n"/>
      <c r="M29" s="46" t="n"/>
      <c r="N29" s="40" t="n"/>
      <c r="O29" s="41" t="n"/>
      <c r="P29" s="41" t="n"/>
      <c r="Q29" s="41" t="n"/>
      <c r="R29" s="41" t="n"/>
      <c r="S29" s="41" t="n"/>
      <c r="T29" s="41" t="n"/>
      <c r="U29" s="45" t="n"/>
    </row>
    <row r="30" ht="20" customHeight="1">
      <c r="A30" s="34">
        <f>IF(D30&lt;&gt;"",ROW()-3,"")</f>
        <v/>
      </c>
      <c r="B30" s="35">
        <f>IF(D30&lt;&gt;"", "GeetMP3", "")</f>
        <v/>
      </c>
      <c r="C30" s="36" t="n"/>
      <c r="D30" s="35" t="n"/>
      <c r="E30" s="35" t="n"/>
      <c r="F30" s="34" t="n"/>
      <c r="G30" s="35" t="n"/>
      <c r="H30" s="35" t="n"/>
      <c r="I30" s="35" t="n"/>
      <c r="J30" s="35" t="n"/>
      <c r="K30" s="35" t="n"/>
      <c r="L30" s="34" t="n"/>
      <c r="M30" s="47" t="n"/>
      <c r="N30" s="34" t="n"/>
      <c r="O30" s="35" t="n"/>
      <c r="P30" s="35" t="n"/>
      <c r="Q30" s="35" t="n"/>
      <c r="R30" s="35" t="n"/>
      <c r="S30" s="35" t="n"/>
      <c r="T30" s="35" t="n"/>
      <c r="U30" s="39" t="n"/>
    </row>
  </sheetData>
  <autoFilter ref="A3:U30"/>
  <mergeCells count="3">
    <mergeCell ref="R1:U1"/>
    <mergeCell ref="A1:Q1"/>
    <mergeCell ref="A2:U2"/>
  </mergeCells>
  <dataValidations count="2">
    <dataValidation sqref="F4:F5000" showDropDown="0" showInputMessage="0" showErrorMessage="0" allowBlank="1" errorTitle="Invalid Release Type" error="Please select a valid Release Type (Single, Album, Movie, EP, Other)." promptTitle="Release Type" prompt="Choose release type from dropdown" type="list">
      <formula1>"Single,Album,Movie,EP,Other"</formula1>
    </dataValidation>
    <dataValidation sqref="L4:L5000" showDropDown="0" showInputMessage="0" showErrorMessage="0" allowBlank="1" errorTitle="Invalid Language" error="Please choose a valid language from the list." promptTitle="Language" prompt="Select language from dropdown" type="list">
      <formula1>"Punjabi,Haryanvi,Hindi,Devotional / Sanskrit,Rajasthani,Other"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0"/>
  <sheetViews>
    <sheetView showGridLines="1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28" customWidth="1" min="4" max="4"/>
    <col width="24" customWidth="1" min="5" max="5"/>
    <col width="16" customWidth="1" min="6" max="6"/>
    <col width="22" customWidth="1" min="7" max="7"/>
    <col width="20" customWidth="1" min="8" max="8"/>
    <col width="20" customWidth="1" min="9" max="9"/>
    <col width="20" customWidth="1" min="10" max="10"/>
    <col width="20" customWidth="1" min="11" max="11"/>
    <col width="18" customWidth="1" min="12" max="12"/>
    <col width="16" customWidth="1" min="13" max="13"/>
    <col width="14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36" customWidth="1" min="21" max="21"/>
  </cols>
  <sheetData>
    <row r="1" ht="28" customHeight="1">
      <c r="A1" s="48" t="inlineStr">
        <is>
          <t>GEETMP3 - GEETMP3 PUNJABI SONG CATALOG &amp; METADATA MANAGEMENT</t>
        </is>
      </c>
      <c r="R1" s="32">
        <f>HYPERLINK("#'Dashboard'!A1", "⬅ Return to Executive Dashboard")</f>
        <v/>
      </c>
    </row>
    <row r="2" ht="18" customHeight="1">
      <c r="A2" s="33" t="inlineStr">
        <is>
          <t>GeetMP3 Punjabi Official | Regional Punjabi Music, Desi Beats &amp; Folk Productions | Real-time synchronized with central dashboard. Scalable for 10,000+ tracks.</t>
        </is>
      </c>
    </row>
    <row r="3" ht="26" customHeight="1">
      <c r="A3" s="15" t="inlineStr">
        <is>
          <t>Sr. No.</t>
        </is>
      </c>
      <c r="B3" s="15" t="inlineStr">
        <is>
          <t>Label</t>
        </is>
      </c>
      <c r="C3" s="15" t="inlineStr">
        <is>
          <t>Release Date</t>
        </is>
      </c>
      <c r="D3" s="15" t="inlineStr">
        <is>
          <t>Song Name</t>
        </is>
      </c>
      <c r="E3" s="15" t="inlineStr">
        <is>
          <t>Album / Project</t>
        </is>
      </c>
      <c r="F3" s="15" t="inlineStr">
        <is>
          <t>Release Type</t>
        </is>
      </c>
      <c r="G3" s="15" t="inlineStr">
        <is>
          <t>Singer</t>
        </is>
      </c>
      <c r="H3" s="15" t="inlineStr">
        <is>
          <t>Lyricist</t>
        </is>
      </c>
      <c r="I3" s="15" t="inlineStr">
        <is>
          <t>Composer</t>
        </is>
      </c>
      <c r="J3" s="15" t="inlineStr">
        <is>
          <t>Music Director</t>
        </is>
      </c>
      <c r="K3" s="15" t="inlineStr">
        <is>
          <t>Video Director</t>
        </is>
      </c>
      <c r="L3" s="15" t="inlineStr">
        <is>
          <t>Language</t>
        </is>
      </c>
      <c r="M3" s="15" t="inlineStr">
        <is>
          <t>YouTube Views</t>
        </is>
      </c>
      <c r="N3" s="15" t="inlineStr">
        <is>
          <t>Video Duration</t>
        </is>
      </c>
      <c r="O3" s="15" t="inlineStr">
        <is>
          <t>YouTube Link</t>
        </is>
      </c>
      <c r="P3" s="15" t="inlineStr">
        <is>
          <t>Spotify</t>
        </is>
      </c>
      <c r="Q3" s="15" t="inlineStr">
        <is>
          <t>Apple Music</t>
        </is>
      </c>
      <c r="R3" s="15" t="inlineStr">
        <is>
          <t>JioSaavn</t>
        </is>
      </c>
      <c r="S3" s="15" t="inlineStr">
        <is>
          <t>Gaana</t>
        </is>
      </c>
      <c r="T3" s="15" t="inlineStr">
        <is>
          <t>Instagram Audio Link</t>
        </is>
      </c>
      <c r="U3" s="15" t="inlineStr">
        <is>
          <t>Remarks</t>
        </is>
      </c>
    </row>
    <row r="4" ht="20" customHeight="1">
      <c r="A4" s="34" t="n">
        <v>1</v>
      </c>
      <c r="B4" s="35" t="inlineStr">
        <is>
          <t>GeetMP3 Punjabi</t>
        </is>
      </c>
      <c r="C4" s="36" t="n">
        <v>44630</v>
      </c>
      <c r="D4" s="35" t="inlineStr">
        <is>
          <t>Kala Tikka</t>
        </is>
      </c>
      <c r="E4" s="35" t="inlineStr">
        <is>
          <t>Kala Tikka</t>
        </is>
      </c>
      <c r="F4" s="34" t="inlineStr">
        <is>
          <t>Single</t>
        </is>
      </c>
      <c r="G4" s="35" t="inlineStr">
        <is>
          <t>Guri</t>
        </is>
      </c>
      <c r="H4" s="35" t="inlineStr">
        <is>
          <t>Guri</t>
        </is>
      </c>
      <c r="I4" s="35" t="inlineStr">
        <is>
          <t>Guri</t>
        </is>
      </c>
      <c r="J4" s="35" t="inlineStr">
        <is>
          <t>Snappy</t>
        </is>
      </c>
      <c r="K4" s="35" t="inlineStr">
        <is>
          <t>Satti Dhillon</t>
        </is>
      </c>
      <c r="L4" s="34" t="inlineStr">
        <is>
          <t>Punjabi</t>
        </is>
      </c>
      <c r="M4" s="37" t="n">
        <v>85000000</v>
      </c>
      <c r="N4" s="34" t="inlineStr">
        <is>
          <t>03:12</t>
        </is>
      </c>
      <c r="O4" s="38" t="inlineStr">
        <is>
          <t>https://youtube.com/watch?v=kala_tikka</t>
        </is>
      </c>
      <c r="P4" s="38" t="inlineStr">
        <is>
          <t>https://open.spotify.com/track/kala_tikka</t>
        </is>
      </c>
      <c r="Q4" s="38" t="inlineStr">
        <is>
          <t>https://music.apple.com/song/kala_tikka</t>
        </is>
      </c>
      <c r="R4" s="38" t="inlineStr">
        <is>
          <t>https://jiosaavn.com/song/kala_tikka</t>
        </is>
      </c>
      <c r="S4" s="38" t="inlineStr">
        <is>
          <t>https://gaana.com/song/kala_tikka</t>
        </is>
      </c>
      <c r="T4" s="38" t="inlineStr">
        <is>
          <t>https://instagram.com/reels/audio/kala_tikka</t>
        </is>
      </c>
      <c r="U4" s="39" t="inlineStr">
        <is>
          <t>High-engagement wedding season single</t>
        </is>
      </c>
    </row>
    <row r="5" ht="20" customHeight="1">
      <c r="A5" s="40" t="n">
        <v>2</v>
      </c>
      <c r="B5" s="41" t="inlineStr">
        <is>
          <t>GeetMP3 Punjabi</t>
        </is>
      </c>
      <c r="C5" s="42" t="n">
        <v>44525</v>
      </c>
      <c r="D5" s="41" t="inlineStr">
        <is>
          <t>Girlfriend</t>
        </is>
      </c>
      <c r="E5" s="41" t="inlineStr">
        <is>
          <t>No Compete</t>
        </is>
      </c>
      <c r="F5" s="40" t="inlineStr">
        <is>
          <t>EP</t>
        </is>
      </c>
      <c r="G5" s="41" t="inlineStr">
        <is>
          <t>Jass Manak</t>
        </is>
      </c>
      <c r="H5" s="41" t="inlineStr">
        <is>
          <t>Jass Manak</t>
        </is>
      </c>
      <c r="I5" s="41" t="inlineStr">
        <is>
          <t>Jass Manak</t>
        </is>
      </c>
      <c r="J5" s="41" t="inlineStr">
        <is>
          <t>Satti Dhillon</t>
        </is>
      </c>
      <c r="K5" s="41" t="inlineStr">
        <is>
          <t>Satti Dhillon</t>
        </is>
      </c>
      <c r="L5" s="40" t="inlineStr">
        <is>
          <t>Punjabi</t>
        </is>
      </c>
      <c r="M5" s="43" t="n">
        <v>110000000</v>
      </c>
      <c r="N5" s="40" t="inlineStr">
        <is>
          <t>02:58</t>
        </is>
      </c>
      <c r="O5" s="44" t="inlineStr">
        <is>
          <t>https://youtube.com/watch?v=girlfriend</t>
        </is>
      </c>
      <c r="P5" s="44" t="inlineStr">
        <is>
          <t>https://open.spotify.com/track/girlfriend</t>
        </is>
      </c>
      <c r="Q5" s="44" t="inlineStr">
        <is>
          <t>https://music.apple.com/song/girlfriend</t>
        </is>
      </c>
      <c r="R5" s="44" t="inlineStr">
        <is>
          <t>https://jiosaavn.com/song/girlfriend</t>
        </is>
      </c>
      <c r="S5" s="44" t="inlineStr">
        <is>
          <t>https://gaana.com/song/girlfriend</t>
        </is>
      </c>
      <c r="T5" s="44" t="inlineStr">
        <is>
          <t>https://instagram.com/reels/audio/girlfriend</t>
        </is>
      </c>
      <c r="U5" s="45" t="inlineStr">
        <is>
          <t>Short-form video hit across reels &amp; shorts</t>
        </is>
      </c>
    </row>
    <row r="6" ht="20" customHeight="1">
      <c r="A6" s="34" t="n">
        <v>3</v>
      </c>
      <c r="B6" s="35" t="inlineStr">
        <is>
          <t>GeetMP3 Punjabi</t>
        </is>
      </c>
      <c r="C6" s="36" t="n">
        <v>44944</v>
      </c>
      <c r="D6" s="35" t="inlineStr">
        <is>
          <t>Chann Sitare (Folk Mix)</t>
        </is>
      </c>
      <c r="E6" s="35" t="inlineStr">
        <is>
          <t>Heritage Vol 1</t>
        </is>
      </c>
      <c r="F6" s="34" t="inlineStr">
        <is>
          <t>EP</t>
        </is>
      </c>
      <c r="G6" s="35" t="inlineStr">
        <is>
          <t>Ammy Virk</t>
        </is>
      </c>
      <c r="H6" s="35" t="inlineStr">
        <is>
          <t>Harmanjeet</t>
        </is>
      </c>
      <c r="I6" s="35" t="inlineStr">
        <is>
          <t>Gurmeet Singh</t>
        </is>
      </c>
      <c r="J6" s="35" t="inlineStr">
        <is>
          <t>Gurmeet Singh</t>
        </is>
      </c>
      <c r="K6" s="35" t="inlineStr">
        <is>
          <t>Navjit Buttar</t>
        </is>
      </c>
      <c r="L6" s="34" t="inlineStr">
        <is>
          <t>Punjabi</t>
        </is>
      </c>
      <c r="M6" s="37" t="n">
        <v>64000000</v>
      </c>
      <c r="N6" s="34" t="inlineStr">
        <is>
          <t>04:10</t>
        </is>
      </c>
      <c r="O6" s="38" t="inlineStr">
        <is>
          <t>https://youtube.com/watch?v=chann_sitare</t>
        </is>
      </c>
      <c r="P6" s="38" t="inlineStr">
        <is>
          <t>https://open.spotify.com/track/chann_sitare</t>
        </is>
      </c>
      <c r="Q6" s="38" t="inlineStr">
        <is>
          <t>https://music.apple.com/song/chann_sitare</t>
        </is>
      </c>
      <c r="R6" s="38" t="inlineStr">
        <is>
          <t>https://jiosaavn.com/song/chann_sitare</t>
        </is>
      </c>
      <c r="S6" s="38" t="inlineStr">
        <is>
          <t>https://gaana.com/song/chann_sitare</t>
        </is>
      </c>
      <c r="T6" s="38" t="inlineStr">
        <is>
          <t>https://instagram.com/reels/audio/chann_sitare</t>
        </is>
      </c>
      <c r="U6" s="39" t="inlineStr">
        <is>
          <t>Acoustic traditional folk rendition</t>
        </is>
      </c>
    </row>
    <row r="7" ht="20" customHeight="1">
      <c r="A7" s="40" t="n">
        <v>4</v>
      </c>
      <c r="B7" s="41" t="inlineStr">
        <is>
          <t>GeetMP3 Punjabi</t>
        </is>
      </c>
      <c r="C7" s="42" t="n">
        <v>44809</v>
      </c>
      <c r="D7" s="41" t="inlineStr">
        <is>
          <t>Majhail</t>
        </is>
      </c>
      <c r="E7" s="41" t="inlineStr">
        <is>
          <t>Majhail</t>
        </is>
      </c>
      <c r="F7" s="40" t="inlineStr">
        <is>
          <t>Single</t>
        </is>
      </c>
      <c r="G7" s="41" t="inlineStr">
        <is>
          <t>AP Dhillon / Gurinder</t>
        </is>
      </c>
      <c r="H7" s="41" t="inlineStr">
        <is>
          <t>Shinda Kahlon</t>
        </is>
      </c>
      <c r="I7" s="41" t="inlineStr">
        <is>
          <t>Gminxr</t>
        </is>
      </c>
      <c r="J7" s="41" t="inlineStr">
        <is>
          <t>Gminxr</t>
        </is>
      </c>
      <c r="K7" s="41" t="inlineStr">
        <is>
          <t>Rahul Chahal</t>
        </is>
      </c>
      <c r="L7" s="40" t="inlineStr">
        <is>
          <t>Punjabi</t>
        </is>
      </c>
      <c r="M7" s="43" t="n">
        <v>92000000</v>
      </c>
      <c r="N7" s="40" t="inlineStr">
        <is>
          <t>03:22</t>
        </is>
      </c>
      <c r="O7" s="44" t="inlineStr">
        <is>
          <t>https://youtube.com/watch?v=majhail</t>
        </is>
      </c>
      <c r="P7" s="44" t="inlineStr">
        <is>
          <t>https://open.spotify.com/track/majhail</t>
        </is>
      </c>
      <c r="Q7" s="44" t="inlineStr">
        <is>
          <t>https://music.apple.com/song/majhail</t>
        </is>
      </c>
      <c r="R7" s="44" t="inlineStr">
        <is>
          <t>https://jiosaavn.com/song/majhail</t>
        </is>
      </c>
      <c r="S7" s="44" t="inlineStr">
        <is>
          <t>https://gaana.com/song/majhail</t>
        </is>
      </c>
      <c r="T7" s="44" t="inlineStr">
        <is>
          <t>https://instagram.com/reels/audio/majhail</t>
        </is>
      </c>
      <c r="U7" s="45" t="inlineStr">
        <is>
          <t>Collaboration release on regional imprint</t>
        </is>
      </c>
    </row>
    <row r="8" ht="20" customHeight="1">
      <c r="A8" s="34" t="n">
        <v>5</v>
      </c>
      <c r="B8" s="35" t="inlineStr">
        <is>
          <t>GeetMP3 Punjabi</t>
        </is>
      </c>
      <c r="C8" s="36" t="n">
        <v>44057</v>
      </c>
      <c r="D8" s="35" t="inlineStr">
        <is>
          <t>Viah</t>
        </is>
      </c>
      <c r="E8" s="35" t="inlineStr">
        <is>
          <t>Age 19</t>
        </is>
      </c>
      <c r="F8" s="34" t="inlineStr">
        <is>
          <t>Album</t>
        </is>
      </c>
      <c r="G8" s="35" t="inlineStr">
        <is>
          <t>Jass Manak</t>
        </is>
      </c>
      <c r="H8" s="35" t="inlineStr">
        <is>
          <t>Jass Manak</t>
        </is>
      </c>
      <c r="I8" s="35" t="inlineStr">
        <is>
          <t>Jass Manak</t>
        </is>
      </c>
      <c r="J8" s="35" t="inlineStr">
        <is>
          <t>Snappy</t>
        </is>
      </c>
      <c r="K8" s="35" t="inlineStr">
        <is>
          <t>Satti Dhillon</t>
        </is>
      </c>
      <c r="L8" s="34" t="inlineStr">
        <is>
          <t>Punjabi</t>
        </is>
      </c>
      <c r="M8" s="37" t="n">
        <v>145000000</v>
      </c>
      <c r="N8" s="34" t="inlineStr">
        <is>
          <t>03:30</t>
        </is>
      </c>
      <c r="O8" s="38" t="inlineStr">
        <is>
          <t>https://youtube.com/watch?v=viah</t>
        </is>
      </c>
      <c r="P8" s="38" t="inlineStr">
        <is>
          <t>https://open.spotify.com/track/viah</t>
        </is>
      </c>
      <c r="Q8" s="38" t="inlineStr">
        <is>
          <t>https://music.apple.com/song/viah</t>
        </is>
      </c>
      <c r="R8" s="38" t="inlineStr">
        <is>
          <t>https://jiosaavn.com/song/viah</t>
        </is>
      </c>
      <c r="S8" s="38" t="inlineStr">
        <is>
          <t>https://gaana.com/song/viah</t>
        </is>
      </c>
      <c r="T8" s="38" t="inlineStr">
        <is>
          <t>https://instagram.com/reels/audio/viah</t>
        </is>
      </c>
      <c r="U8" s="39" t="inlineStr">
        <is>
          <t>Evergreen marriage playlist anthem</t>
        </is>
      </c>
    </row>
    <row r="9" ht="20" customHeight="1">
      <c r="A9" s="40">
        <f>IF(D9&lt;&gt;"",ROW()-3,"")</f>
        <v/>
      </c>
      <c r="B9" s="41">
        <f>IF(D9&lt;&gt;"", "GeetMP3 Punjabi", "")</f>
        <v/>
      </c>
      <c r="C9" s="42" t="n"/>
      <c r="D9" s="41" t="n"/>
      <c r="E9" s="41" t="n"/>
      <c r="F9" s="40" t="n"/>
      <c r="G9" s="41" t="n"/>
      <c r="H9" s="41" t="n"/>
      <c r="I9" s="41" t="n"/>
      <c r="J9" s="41" t="n"/>
      <c r="K9" s="41" t="n"/>
      <c r="L9" s="40" t="n"/>
      <c r="M9" s="46" t="n"/>
      <c r="N9" s="40" t="n"/>
      <c r="O9" s="41" t="n"/>
      <c r="P9" s="41" t="n"/>
      <c r="Q9" s="41" t="n"/>
      <c r="R9" s="41" t="n"/>
      <c r="S9" s="41" t="n"/>
      <c r="T9" s="41" t="n"/>
      <c r="U9" s="45" t="n"/>
    </row>
    <row r="10" ht="20" customHeight="1">
      <c r="A10" s="34">
        <f>IF(D10&lt;&gt;"",ROW()-3,"")</f>
        <v/>
      </c>
      <c r="B10" s="35">
        <f>IF(D10&lt;&gt;"", "GeetMP3 Punjabi", "")</f>
        <v/>
      </c>
      <c r="C10" s="36" t="n"/>
      <c r="D10" s="35" t="n"/>
      <c r="E10" s="35" t="n"/>
      <c r="F10" s="34" t="n"/>
      <c r="G10" s="35" t="n"/>
      <c r="H10" s="35" t="n"/>
      <c r="I10" s="35" t="n"/>
      <c r="J10" s="35" t="n"/>
      <c r="K10" s="35" t="n"/>
      <c r="L10" s="34" t="n"/>
      <c r="M10" s="47" t="n"/>
      <c r="N10" s="34" t="n"/>
      <c r="O10" s="35" t="n"/>
      <c r="P10" s="35" t="n"/>
      <c r="Q10" s="35" t="n"/>
      <c r="R10" s="35" t="n"/>
      <c r="S10" s="35" t="n"/>
      <c r="T10" s="35" t="n"/>
      <c r="U10" s="39" t="n"/>
    </row>
    <row r="11" ht="20" customHeight="1">
      <c r="A11" s="40">
        <f>IF(D11&lt;&gt;"",ROW()-3,"")</f>
        <v/>
      </c>
      <c r="B11" s="41">
        <f>IF(D11&lt;&gt;"", "GeetMP3 Punjabi", "")</f>
        <v/>
      </c>
      <c r="C11" s="42" t="n"/>
      <c r="D11" s="41" t="n"/>
      <c r="E11" s="41" t="n"/>
      <c r="F11" s="40" t="n"/>
      <c r="G11" s="41" t="n"/>
      <c r="H11" s="41" t="n"/>
      <c r="I11" s="41" t="n"/>
      <c r="J11" s="41" t="n"/>
      <c r="K11" s="41" t="n"/>
      <c r="L11" s="40" t="n"/>
      <c r="M11" s="46" t="n"/>
      <c r="N11" s="40" t="n"/>
      <c r="O11" s="41" t="n"/>
      <c r="P11" s="41" t="n"/>
      <c r="Q11" s="41" t="n"/>
      <c r="R11" s="41" t="n"/>
      <c r="S11" s="41" t="n"/>
      <c r="T11" s="41" t="n"/>
      <c r="U11" s="45" t="n"/>
    </row>
    <row r="12" ht="20" customHeight="1">
      <c r="A12" s="34">
        <f>IF(D12&lt;&gt;"",ROW()-3,"")</f>
        <v/>
      </c>
      <c r="B12" s="35">
        <f>IF(D12&lt;&gt;"", "GeetMP3 Punjabi", "")</f>
        <v/>
      </c>
      <c r="C12" s="36" t="n"/>
      <c r="D12" s="35" t="n"/>
      <c r="E12" s="35" t="n"/>
      <c r="F12" s="34" t="n"/>
      <c r="G12" s="35" t="n"/>
      <c r="H12" s="35" t="n"/>
      <c r="I12" s="35" t="n"/>
      <c r="J12" s="35" t="n"/>
      <c r="K12" s="35" t="n"/>
      <c r="L12" s="34" t="n"/>
      <c r="M12" s="47" t="n"/>
      <c r="N12" s="34" t="n"/>
      <c r="O12" s="35" t="n"/>
      <c r="P12" s="35" t="n"/>
      <c r="Q12" s="35" t="n"/>
      <c r="R12" s="35" t="n"/>
      <c r="S12" s="35" t="n"/>
      <c r="T12" s="35" t="n"/>
      <c r="U12" s="39" t="n"/>
    </row>
    <row r="13" ht="20" customHeight="1">
      <c r="A13" s="40">
        <f>IF(D13&lt;&gt;"",ROW()-3,"")</f>
        <v/>
      </c>
      <c r="B13" s="41">
        <f>IF(D13&lt;&gt;"", "GeetMP3 Punjabi", "")</f>
        <v/>
      </c>
      <c r="C13" s="42" t="n"/>
      <c r="D13" s="41" t="n"/>
      <c r="E13" s="41" t="n"/>
      <c r="F13" s="40" t="n"/>
      <c r="G13" s="41" t="n"/>
      <c r="H13" s="41" t="n"/>
      <c r="I13" s="41" t="n"/>
      <c r="J13" s="41" t="n"/>
      <c r="K13" s="41" t="n"/>
      <c r="L13" s="40" t="n"/>
      <c r="M13" s="46" t="n"/>
      <c r="N13" s="40" t="n"/>
      <c r="O13" s="41" t="n"/>
      <c r="P13" s="41" t="n"/>
      <c r="Q13" s="41" t="n"/>
      <c r="R13" s="41" t="n"/>
      <c r="S13" s="41" t="n"/>
      <c r="T13" s="41" t="n"/>
      <c r="U13" s="45" t="n"/>
    </row>
    <row r="14" ht="20" customHeight="1">
      <c r="A14" s="34">
        <f>IF(D14&lt;&gt;"",ROW()-3,"")</f>
        <v/>
      </c>
      <c r="B14" s="35">
        <f>IF(D14&lt;&gt;"", "GeetMP3 Punjabi", "")</f>
        <v/>
      </c>
      <c r="C14" s="36" t="n"/>
      <c r="D14" s="35" t="n"/>
      <c r="E14" s="35" t="n"/>
      <c r="F14" s="34" t="n"/>
      <c r="G14" s="35" t="n"/>
      <c r="H14" s="35" t="n"/>
      <c r="I14" s="35" t="n"/>
      <c r="J14" s="35" t="n"/>
      <c r="K14" s="35" t="n"/>
      <c r="L14" s="34" t="n"/>
      <c r="M14" s="47" t="n"/>
      <c r="N14" s="34" t="n"/>
      <c r="O14" s="35" t="n"/>
      <c r="P14" s="35" t="n"/>
      <c r="Q14" s="35" t="n"/>
      <c r="R14" s="35" t="n"/>
      <c r="S14" s="35" t="n"/>
      <c r="T14" s="35" t="n"/>
      <c r="U14" s="39" t="n"/>
    </row>
    <row r="15" ht="20" customHeight="1">
      <c r="A15" s="40">
        <f>IF(D15&lt;&gt;"",ROW()-3,"")</f>
        <v/>
      </c>
      <c r="B15" s="41">
        <f>IF(D15&lt;&gt;"", "GeetMP3 Punjabi", "")</f>
        <v/>
      </c>
      <c r="C15" s="42" t="n"/>
      <c r="D15" s="41" t="n"/>
      <c r="E15" s="41" t="n"/>
      <c r="F15" s="40" t="n"/>
      <c r="G15" s="41" t="n"/>
      <c r="H15" s="41" t="n"/>
      <c r="I15" s="41" t="n"/>
      <c r="J15" s="41" t="n"/>
      <c r="K15" s="41" t="n"/>
      <c r="L15" s="40" t="n"/>
      <c r="M15" s="46" t="n"/>
      <c r="N15" s="40" t="n"/>
      <c r="O15" s="41" t="n"/>
      <c r="P15" s="41" t="n"/>
      <c r="Q15" s="41" t="n"/>
      <c r="R15" s="41" t="n"/>
      <c r="S15" s="41" t="n"/>
      <c r="T15" s="41" t="n"/>
      <c r="U15" s="45" t="n"/>
    </row>
    <row r="16" ht="20" customHeight="1">
      <c r="A16" s="34">
        <f>IF(D16&lt;&gt;"",ROW()-3,"")</f>
        <v/>
      </c>
      <c r="B16" s="35">
        <f>IF(D16&lt;&gt;"", "GeetMP3 Punjabi", "")</f>
        <v/>
      </c>
      <c r="C16" s="36" t="n"/>
      <c r="D16" s="35" t="n"/>
      <c r="E16" s="35" t="n"/>
      <c r="F16" s="34" t="n"/>
      <c r="G16" s="35" t="n"/>
      <c r="H16" s="35" t="n"/>
      <c r="I16" s="35" t="n"/>
      <c r="J16" s="35" t="n"/>
      <c r="K16" s="35" t="n"/>
      <c r="L16" s="34" t="n"/>
      <c r="M16" s="47" t="n"/>
      <c r="N16" s="34" t="n"/>
      <c r="O16" s="35" t="n"/>
      <c r="P16" s="35" t="n"/>
      <c r="Q16" s="35" t="n"/>
      <c r="R16" s="35" t="n"/>
      <c r="S16" s="35" t="n"/>
      <c r="T16" s="35" t="n"/>
      <c r="U16" s="39" t="n"/>
    </row>
    <row r="17" ht="20" customHeight="1">
      <c r="A17" s="40">
        <f>IF(D17&lt;&gt;"",ROW()-3,"")</f>
        <v/>
      </c>
      <c r="B17" s="41">
        <f>IF(D17&lt;&gt;"", "GeetMP3 Punjabi", "")</f>
        <v/>
      </c>
      <c r="C17" s="42" t="n"/>
      <c r="D17" s="41" t="n"/>
      <c r="E17" s="41" t="n"/>
      <c r="F17" s="40" t="n"/>
      <c r="G17" s="41" t="n"/>
      <c r="H17" s="41" t="n"/>
      <c r="I17" s="41" t="n"/>
      <c r="J17" s="41" t="n"/>
      <c r="K17" s="41" t="n"/>
      <c r="L17" s="40" t="n"/>
      <c r="M17" s="46" t="n"/>
      <c r="N17" s="40" t="n"/>
      <c r="O17" s="41" t="n"/>
      <c r="P17" s="41" t="n"/>
      <c r="Q17" s="41" t="n"/>
      <c r="R17" s="41" t="n"/>
      <c r="S17" s="41" t="n"/>
      <c r="T17" s="41" t="n"/>
      <c r="U17" s="45" t="n"/>
    </row>
    <row r="18" ht="20" customHeight="1">
      <c r="A18" s="34">
        <f>IF(D18&lt;&gt;"",ROW()-3,"")</f>
        <v/>
      </c>
      <c r="B18" s="35">
        <f>IF(D18&lt;&gt;"", "GeetMP3 Punjabi", "")</f>
        <v/>
      </c>
      <c r="C18" s="36" t="n"/>
      <c r="D18" s="35" t="n"/>
      <c r="E18" s="35" t="n"/>
      <c r="F18" s="34" t="n"/>
      <c r="G18" s="35" t="n"/>
      <c r="H18" s="35" t="n"/>
      <c r="I18" s="35" t="n"/>
      <c r="J18" s="35" t="n"/>
      <c r="K18" s="35" t="n"/>
      <c r="L18" s="34" t="n"/>
      <c r="M18" s="47" t="n"/>
      <c r="N18" s="34" t="n"/>
      <c r="O18" s="35" t="n"/>
      <c r="P18" s="35" t="n"/>
      <c r="Q18" s="35" t="n"/>
      <c r="R18" s="35" t="n"/>
      <c r="S18" s="35" t="n"/>
      <c r="T18" s="35" t="n"/>
      <c r="U18" s="39" t="n"/>
    </row>
    <row r="19" ht="20" customHeight="1">
      <c r="A19" s="40">
        <f>IF(D19&lt;&gt;"",ROW()-3,"")</f>
        <v/>
      </c>
      <c r="B19" s="41">
        <f>IF(D19&lt;&gt;"", "GeetMP3 Punjabi", "")</f>
        <v/>
      </c>
      <c r="C19" s="42" t="n"/>
      <c r="D19" s="41" t="n"/>
      <c r="E19" s="41" t="n"/>
      <c r="F19" s="40" t="n"/>
      <c r="G19" s="41" t="n"/>
      <c r="H19" s="41" t="n"/>
      <c r="I19" s="41" t="n"/>
      <c r="J19" s="41" t="n"/>
      <c r="K19" s="41" t="n"/>
      <c r="L19" s="40" t="n"/>
      <c r="M19" s="46" t="n"/>
      <c r="N19" s="40" t="n"/>
      <c r="O19" s="41" t="n"/>
      <c r="P19" s="41" t="n"/>
      <c r="Q19" s="41" t="n"/>
      <c r="R19" s="41" t="n"/>
      <c r="S19" s="41" t="n"/>
      <c r="T19" s="41" t="n"/>
      <c r="U19" s="45" t="n"/>
    </row>
    <row r="20" ht="20" customHeight="1">
      <c r="A20" s="34">
        <f>IF(D20&lt;&gt;"",ROW()-3,"")</f>
        <v/>
      </c>
      <c r="B20" s="35">
        <f>IF(D20&lt;&gt;"", "GeetMP3 Punjabi", "")</f>
        <v/>
      </c>
      <c r="C20" s="36" t="n"/>
      <c r="D20" s="35" t="n"/>
      <c r="E20" s="35" t="n"/>
      <c r="F20" s="34" t="n"/>
      <c r="G20" s="35" t="n"/>
      <c r="H20" s="35" t="n"/>
      <c r="I20" s="35" t="n"/>
      <c r="J20" s="35" t="n"/>
      <c r="K20" s="35" t="n"/>
      <c r="L20" s="34" t="n"/>
      <c r="M20" s="47" t="n"/>
      <c r="N20" s="34" t="n"/>
      <c r="O20" s="35" t="n"/>
      <c r="P20" s="35" t="n"/>
      <c r="Q20" s="35" t="n"/>
      <c r="R20" s="35" t="n"/>
      <c r="S20" s="35" t="n"/>
      <c r="T20" s="35" t="n"/>
      <c r="U20" s="39" t="n"/>
    </row>
    <row r="21" ht="20" customHeight="1">
      <c r="A21" s="40">
        <f>IF(D21&lt;&gt;"",ROW()-3,"")</f>
        <v/>
      </c>
      <c r="B21" s="41">
        <f>IF(D21&lt;&gt;"", "GeetMP3 Punjabi", "")</f>
        <v/>
      </c>
      <c r="C21" s="42" t="n"/>
      <c r="D21" s="41" t="n"/>
      <c r="E21" s="41" t="n"/>
      <c r="F21" s="40" t="n"/>
      <c r="G21" s="41" t="n"/>
      <c r="H21" s="41" t="n"/>
      <c r="I21" s="41" t="n"/>
      <c r="J21" s="41" t="n"/>
      <c r="K21" s="41" t="n"/>
      <c r="L21" s="40" t="n"/>
      <c r="M21" s="46" t="n"/>
      <c r="N21" s="40" t="n"/>
      <c r="O21" s="41" t="n"/>
      <c r="P21" s="41" t="n"/>
      <c r="Q21" s="41" t="n"/>
      <c r="R21" s="41" t="n"/>
      <c r="S21" s="41" t="n"/>
      <c r="T21" s="41" t="n"/>
      <c r="U21" s="45" t="n"/>
    </row>
    <row r="22" ht="20" customHeight="1">
      <c r="A22" s="34">
        <f>IF(D22&lt;&gt;"",ROW()-3,"")</f>
        <v/>
      </c>
      <c r="B22" s="35">
        <f>IF(D22&lt;&gt;"", "GeetMP3 Punjabi", "")</f>
        <v/>
      </c>
      <c r="C22" s="36" t="n"/>
      <c r="D22" s="35" t="n"/>
      <c r="E22" s="35" t="n"/>
      <c r="F22" s="34" t="n"/>
      <c r="G22" s="35" t="n"/>
      <c r="H22" s="35" t="n"/>
      <c r="I22" s="35" t="n"/>
      <c r="J22" s="35" t="n"/>
      <c r="K22" s="35" t="n"/>
      <c r="L22" s="34" t="n"/>
      <c r="M22" s="47" t="n"/>
      <c r="N22" s="34" t="n"/>
      <c r="O22" s="35" t="n"/>
      <c r="P22" s="35" t="n"/>
      <c r="Q22" s="35" t="n"/>
      <c r="R22" s="35" t="n"/>
      <c r="S22" s="35" t="n"/>
      <c r="T22" s="35" t="n"/>
      <c r="U22" s="39" t="n"/>
    </row>
    <row r="23" ht="20" customHeight="1">
      <c r="A23" s="40">
        <f>IF(D23&lt;&gt;"",ROW()-3,"")</f>
        <v/>
      </c>
      <c r="B23" s="41">
        <f>IF(D23&lt;&gt;"", "GeetMP3 Punjabi", "")</f>
        <v/>
      </c>
      <c r="C23" s="42" t="n"/>
      <c r="D23" s="41" t="n"/>
      <c r="E23" s="41" t="n"/>
      <c r="F23" s="40" t="n"/>
      <c r="G23" s="41" t="n"/>
      <c r="H23" s="41" t="n"/>
      <c r="I23" s="41" t="n"/>
      <c r="J23" s="41" t="n"/>
      <c r="K23" s="41" t="n"/>
      <c r="L23" s="40" t="n"/>
      <c r="M23" s="46" t="n"/>
      <c r="N23" s="40" t="n"/>
      <c r="O23" s="41" t="n"/>
      <c r="P23" s="41" t="n"/>
      <c r="Q23" s="41" t="n"/>
      <c r="R23" s="41" t="n"/>
      <c r="S23" s="41" t="n"/>
      <c r="T23" s="41" t="n"/>
      <c r="U23" s="45" t="n"/>
    </row>
    <row r="24" ht="20" customHeight="1">
      <c r="A24" s="34">
        <f>IF(D24&lt;&gt;"",ROW()-3,"")</f>
        <v/>
      </c>
      <c r="B24" s="35">
        <f>IF(D24&lt;&gt;"", "GeetMP3 Punjabi", "")</f>
        <v/>
      </c>
      <c r="C24" s="36" t="n"/>
      <c r="D24" s="35" t="n"/>
      <c r="E24" s="35" t="n"/>
      <c r="F24" s="34" t="n"/>
      <c r="G24" s="35" t="n"/>
      <c r="H24" s="35" t="n"/>
      <c r="I24" s="35" t="n"/>
      <c r="J24" s="35" t="n"/>
      <c r="K24" s="35" t="n"/>
      <c r="L24" s="34" t="n"/>
      <c r="M24" s="47" t="n"/>
      <c r="N24" s="34" t="n"/>
      <c r="O24" s="35" t="n"/>
      <c r="P24" s="35" t="n"/>
      <c r="Q24" s="35" t="n"/>
      <c r="R24" s="35" t="n"/>
      <c r="S24" s="35" t="n"/>
      <c r="T24" s="35" t="n"/>
      <c r="U24" s="39" t="n"/>
    </row>
    <row r="25" ht="20" customHeight="1">
      <c r="A25" s="40">
        <f>IF(D25&lt;&gt;"",ROW()-3,"")</f>
        <v/>
      </c>
      <c r="B25" s="41">
        <f>IF(D25&lt;&gt;"", "GeetMP3 Punjabi", "")</f>
        <v/>
      </c>
      <c r="C25" s="42" t="n"/>
      <c r="D25" s="41" t="n"/>
      <c r="E25" s="41" t="n"/>
      <c r="F25" s="40" t="n"/>
      <c r="G25" s="41" t="n"/>
      <c r="H25" s="41" t="n"/>
      <c r="I25" s="41" t="n"/>
      <c r="J25" s="41" t="n"/>
      <c r="K25" s="41" t="n"/>
      <c r="L25" s="40" t="n"/>
      <c r="M25" s="46" t="n"/>
      <c r="N25" s="40" t="n"/>
      <c r="O25" s="41" t="n"/>
      <c r="P25" s="41" t="n"/>
      <c r="Q25" s="41" t="n"/>
      <c r="R25" s="41" t="n"/>
      <c r="S25" s="41" t="n"/>
      <c r="T25" s="41" t="n"/>
      <c r="U25" s="45" t="n"/>
    </row>
    <row r="26" ht="20" customHeight="1">
      <c r="A26" s="34">
        <f>IF(D26&lt;&gt;"",ROW()-3,"")</f>
        <v/>
      </c>
      <c r="B26" s="35">
        <f>IF(D26&lt;&gt;"", "GeetMP3 Punjabi", "")</f>
        <v/>
      </c>
      <c r="C26" s="36" t="n"/>
      <c r="D26" s="35" t="n"/>
      <c r="E26" s="35" t="n"/>
      <c r="F26" s="34" t="n"/>
      <c r="G26" s="35" t="n"/>
      <c r="H26" s="35" t="n"/>
      <c r="I26" s="35" t="n"/>
      <c r="J26" s="35" t="n"/>
      <c r="K26" s="35" t="n"/>
      <c r="L26" s="34" t="n"/>
      <c r="M26" s="47" t="n"/>
      <c r="N26" s="34" t="n"/>
      <c r="O26" s="35" t="n"/>
      <c r="P26" s="35" t="n"/>
      <c r="Q26" s="35" t="n"/>
      <c r="R26" s="35" t="n"/>
      <c r="S26" s="35" t="n"/>
      <c r="T26" s="35" t="n"/>
      <c r="U26" s="39" t="n"/>
    </row>
    <row r="27" ht="20" customHeight="1">
      <c r="A27" s="40">
        <f>IF(D27&lt;&gt;"",ROW()-3,"")</f>
        <v/>
      </c>
      <c r="B27" s="41">
        <f>IF(D27&lt;&gt;"", "GeetMP3 Punjabi", "")</f>
        <v/>
      </c>
      <c r="C27" s="42" t="n"/>
      <c r="D27" s="41" t="n"/>
      <c r="E27" s="41" t="n"/>
      <c r="F27" s="40" t="n"/>
      <c r="G27" s="41" t="n"/>
      <c r="H27" s="41" t="n"/>
      <c r="I27" s="41" t="n"/>
      <c r="J27" s="41" t="n"/>
      <c r="K27" s="41" t="n"/>
      <c r="L27" s="40" t="n"/>
      <c r="M27" s="46" t="n"/>
      <c r="N27" s="40" t="n"/>
      <c r="O27" s="41" t="n"/>
      <c r="P27" s="41" t="n"/>
      <c r="Q27" s="41" t="n"/>
      <c r="R27" s="41" t="n"/>
      <c r="S27" s="41" t="n"/>
      <c r="T27" s="41" t="n"/>
      <c r="U27" s="45" t="n"/>
    </row>
    <row r="28" ht="20" customHeight="1">
      <c r="A28" s="34">
        <f>IF(D28&lt;&gt;"",ROW()-3,"")</f>
        <v/>
      </c>
      <c r="B28" s="35">
        <f>IF(D28&lt;&gt;"", "GeetMP3 Punjabi", "")</f>
        <v/>
      </c>
      <c r="C28" s="36" t="n"/>
      <c r="D28" s="35" t="n"/>
      <c r="E28" s="35" t="n"/>
      <c r="F28" s="34" t="n"/>
      <c r="G28" s="35" t="n"/>
      <c r="H28" s="35" t="n"/>
      <c r="I28" s="35" t="n"/>
      <c r="J28" s="35" t="n"/>
      <c r="K28" s="35" t="n"/>
      <c r="L28" s="34" t="n"/>
      <c r="M28" s="47" t="n"/>
      <c r="N28" s="34" t="n"/>
      <c r="O28" s="35" t="n"/>
      <c r="P28" s="35" t="n"/>
      <c r="Q28" s="35" t="n"/>
      <c r="R28" s="35" t="n"/>
      <c r="S28" s="35" t="n"/>
      <c r="T28" s="35" t="n"/>
      <c r="U28" s="39" t="n"/>
    </row>
    <row r="29" ht="20" customHeight="1">
      <c r="A29" s="40">
        <f>IF(D29&lt;&gt;"",ROW()-3,"")</f>
        <v/>
      </c>
      <c r="B29" s="41">
        <f>IF(D29&lt;&gt;"", "GeetMP3 Punjabi", "")</f>
        <v/>
      </c>
      <c r="C29" s="42" t="n"/>
      <c r="D29" s="41" t="n"/>
      <c r="E29" s="41" t="n"/>
      <c r="F29" s="40" t="n"/>
      <c r="G29" s="41" t="n"/>
      <c r="H29" s="41" t="n"/>
      <c r="I29" s="41" t="n"/>
      <c r="J29" s="41" t="n"/>
      <c r="K29" s="41" t="n"/>
      <c r="L29" s="40" t="n"/>
      <c r="M29" s="46" t="n"/>
      <c r="N29" s="40" t="n"/>
      <c r="O29" s="41" t="n"/>
      <c r="P29" s="41" t="n"/>
      <c r="Q29" s="41" t="n"/>
      <c r="R29" s="41" t="n"/>
      <c r="S29" s="41" t="n"/>
      <c r="T29" s="41" t="n"/>
      <c r="U29" s="45" t="n"/>
    </row>
    <row r="30" ht="20" customHeight="1">
      <c r="A30" s="34">
        <f>IF(D30&lt;&gt;"",ROW()-3,"")</f>
        <v/>
      </c>
      <c r="B30" s="35">
        <f>IF(D30&lt;&gt;"", "GeetMP3 Punjabi", "")</f>
        <v/>
      </c>
      <c r="C30" s="36" t="n"/>
      <c r="D30" s="35" t="n"/>
      <c r="E30" s="35" t="n"/>
      <c r="F30" s="34" t="n"/>
      <c r="G30" s="35" t="n"/>
      <c r="H30" s="35" t="n"/>
      <c r="I30" s="35" t="n"/>
      <c r="J30" s="35" t="n"/>
      <c r="K30" s="35" t="n"/>
      <c r="L30" s="34" t="n"/>
      <c r="M30" s="47" t="n"/>
      <c r="N30" s="34" t="n"/>
      <c r="O30" s="35" t="n"/>
      <c r="P30" s="35" t="n"/>
      <c r="Q30" s="35" t="n"/>
      <c r="R30" s="35" t="n"/>
      <c r="S30" s="35" t="n"/>
      <c r="T30" s="35" t="n"/>
      <c r="U30" s="39" t="n"/>
    </row>
  </sheetData>
  <autoFilter ref="A3:U30"/>
  <mergeCells count="3">
    <mergeCell ref="R1:U1"/>
    <mergeCell ref="A1:Q1"/>
    <mergeCell ref="A2:U2"/>
  </mergeCells>
  <dataValidations count="2">
    <dataValidation sqref="F4:F5000" showDropDown="0" showInputMessage="0" showErrorMessage="0" allowBlank="1" errorTitle="Invalid Release Type" error="Please select a valid Release Type (Single, Album, Movie, EP, Other)." promptTitle="Release Type" prompt="Choose release type from dropdown" type="list">
      <formula1>"Single,Album,Movie,EP,Other"</formula1>
    </dataValidation>
    <dataValidation sqref="L4:L5000" showDropDown="0" showInputMessage="0" showErrorMessage="0" allowBlank="1" errorTitle="Invalid Language" error="Please choose a valid language from the list." promptTitle="Language" prompt="Select language from dropdown" type="list">
      <formula1>"Punjabi,Haryanvi,Hindi,Devotional / Sanskrit,Rajasthani,Other"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0"/>
  <sheetViews>
    <sheetView showGridLines="1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28" customWidth="1" min="4" max="4"/>
    <col width="24" customWidth="1" min="5" max="5"/>
    <col width="16" customWidth="1" min="6" max="6"/>
    <col width="22" customWidth="1" min="7" max="7"/>
    <col width="20" customWidth="1" min="8" max="8"/>
    <col width="20" customWidth="1" min="9" max="9"/>
    <col width="20" customWidth="1" min="10" max="10"/>
    <col width="20" customWidth="1" min="11" max="11"/>
    <col width="18" customWidth="1" min="12" max="12"/>
    <col width="16" customWidth="1" min="13" max="13"/>
    <col width="14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36" customWidth="1" min="21" max="21"/>
  </cols>
  <sheetData>
    <row r="1" ht="28" customHeight="1">
      <c r="A1" s="49" t="inlineStr">
        <is>
          <t>GEETMP3 - GEETMP3 HARYANVI SONG CATALOG &amp; METADATA MANAGEMENT</t>
        </is>
      </c>
      <c r="R1" s="32">
        <f>HYPERLINK("#'Dashboard'!A1", "⬅ Return to Executive Dashboard")</f>
        <v/>
      </c>
    </row>
    <row r="2" ht="18" customHeight="1">
      <c r="A2" s="33" t="inlineStr">
        <is>
          <t>GeetMP3 Haryanvi | Desi Haryanvi Ragni, Urban Beats, Dance Hits &amp; Folk Rap | Real-time synchronized with central dashboard. Scalable for 10,000+ tracks.</t>
        </is>
      </c>
    </row>
    <row r="3" ht="26" customHeight="1">
      <c r="A3" s="15" t="inlineStr">
        <is>
          <t>Sr. No.</t>
        </is>
      </c>
      <c r="B3" s="15" t="inlineStr">
        <is>
          <t>Label</t>
        </is>
      </c>
      <c r="C3" s="15" t="inlineStr">
        <is>
          <t>Release Date</t>
        </is>
      </c>
      <c r="D3" s="15" t="inlineStr">
        <is>
          <t>Song Name</t>
        </is>
      </c>
      <c r="E3" s="15" t="inlineStr">
        <is>
          <t>Album / Project</t>
        </is>
      </c>
      <c r="F3" s="15" t="inlineStr">
        <is>
          <t>Release Type</t>
        </is>
      </c>
      <c r="G3" s="15" t="inlineStr">
        <is>
          <t>Singer</t>
        </is>
      </c>
      <c r="H3" s="15" t="inlineStr">
        <is>
          <t>Lyricist</t>
        </is>
      </c>
      <c r="I3" s="15" t="inlineStr">
        <is>
          <t>Composer</t>
        </is>
      </c>
      <c r="J3" s="15" t="inlineStr">
        <is>
          <t>Music Director</t>
        </is>
      </c>
      <c r="K3" s="15" t="inlineStr">
        <is>
          <t>Video Director</t>
        </is>
      </c>
      <c r="L3" s="15" t="inlineStr">
        <is>
          <t>Language</t>
        </is>
      </c>
      <c r="M3" s="15" t="inlineStr">
        <is>
          <t>YouTube Views</t>
        </is>
      </c>
      <c r="N3" s="15" t="inlineStr">
        <is>
          <t>Video Duration</t>
        </is>
      </c>
      <c r="O3" s="15" t="inlineStr">
        <is>
          <t>YouTube Link</t>
        </is>
      </c>
      <c r="P3" s="15" t="inlineStr">
        <is>
          <t>Spotify</t>
        </is>
      </c>
      <c r="Q3" s="15" t="inlineStr">
        <is>
          <t>Apple Music</t>
        </is>
      </c>
      <c r="R3" s="15" t="inlineStr">
        <is>
          <t>JioSaavn</t>
        </is>
      </c>
      <c r="S3" s="15" t="inlineStr">
        <is>
          <t>Gaana</t>
        </is>
      </c>
      <c r="T3" s="15" t="inlineStr">
        <is>
          <t>Instagram Audio Link</t>
        </is>
      </c>
      <c r="U3" s="15" t="inlineStr">
        <is>
          <t>Remarks</t>
        </is>
      </c>
    </row>
    <row r="4" ht="20" customHeight="1">
      <c r="A4" s="34" t="n">
        <v>1</v>
      </c>
      <c r="B4" s="35" t="inlineStr">
        <is>
          <t>GeetMP3 Haryanvi</t>
        </is>
      </c>
      <c r="C4" s="36" t="n">
        <v>44693</v>
      </c>
      <c r="D4" s="35" t="inlineStr">
        <is>
          <t>Gypsy (Balam Thanedar)</t>
        </is>
      </c>
      <c r="E4" s="35" t="inlineStr">
        <is>
          <t>Gypsy</t>
        </is>
      </c>
      <c r="F4" s="34" t="inlineStr">
        <is>
          <t>Single</t>
        </is>
      </c>
      <c r="G4" s="35" t="inlineStr">
        <is>
          <t>GD Kaur</t>
        </is>
      </c>
      <c r="H4" s="35" t="inlineStr">
        <is>
          <t>Pranjal Dahiya</t>
        </is>
      </c>
      <c r="I4" s="35" t="inlineStr">
        <is>
          <t>Diler Kharkiya</t>
        </is>
      </c>
      <c r="J4" s="35" t="inlineStr">
        <is>
          <t>Diler Kharkiya</t>
        </is>
      </c>
      <c r="K4" s="35" t="inlineStr">
        <is>
          <t>Meet Bros</t>
        </is>
      </c>
      <c r="L4" s="34" t="inlineStr">
        <is>
          <t>Haryanvi</t>
        </is>
      </c>
      <c r="M4" s="37" t="n">
        <v>540000000</v>
      </c>
      <c r="N4" s="34" t="inlineStr">
        <is>
          <t>03:10</t>
        </is>
      </c>
      <c r="O4" s="38" t="inlineStr">
        <is>
          <t>https://youtube.com/watch?v=balam_thanedar</t>
        </is>
      </c>
      <c r="P4" s="38" t="inlineStr">
        <is>
          <t>https://open.spotify.com/track/gypsy</t>
        </is>
      </c>
      <c r="Q4" s="38" t="inlineStr">
        <is>
          <t>https://music.apple.com/song/gypsy</t>
        </is>
      </c>
      <c r="R4" s="38" t="inlineStr">
        <is>
          <t>https://jiosaavn.com/song/gypsy</t>
        </is>
      </c>
      <c r="S4" s="38" t="inlineStr">
        <is>
          <t>https://gaana.com/song/gypsy</t>
        </is>
      </c>
      <c r="T4" s="38" t="inlineStr">
        <is>
          <t>https://instagram.com/reels/audio/gypsy</t>
        </is>
      </c>
      <c r="U4" s="39" t="inlineStr">
        <is>
          <t>Mega viral dance track across North India</t>
        </is>
      </c>
    </row>
    <row r="5" ht="20" customHeight="1">
      <c r="A5" s="40" t="n">
        <v>2</v>
      </c>
      <c r="B5" s="41" t="inlineStr">
        <is>
          <t>GeetMP3 Haryanvi</t>
        </is>
      </c>
      <c r="C5" s="42" t="n">
        <v>44115</v>
      </c>
      <c r="D5" s="41" t="inlineStr">
        <is>
          <t>52 Gaj Ka Daman</t>
        </is>
      </c>
      <c r="E5" s="41" t="inlineStr">
        <is>
          <t>52 Gaj</t>
        </is>
      </c>
      <c r="F5" s="40" t="inlineStr">
        <is>
          <t>Single</t>
        </is>
      </c>
      <c r="G5" s="41" t="inlineStr">
        <is>
          <t>Renuka Panwar</t>
        </is>
      </c>
      <c r="H5" s="41" t="inlineStr">
        <is>
          <t>Mukesh Jaji</t>
        </is>
      </c>
      <c r="I5" s="41" t="inlineStr">
        <is>
          <t>Aman Jaji</t>
        </is>
      </c>
      <c r="J5" s="41" t="inlineStr">
        <is>
          <t>Aman Jaji</t>
        </is>
      </c>
      <c r="K5" s="41" t="inlineStr">
        <is>
          <t>Sahil Sandhu</t>
        </is>
      </c>
      <c r="L5" s="40" t="inlineStr">
        <is>
          <t>Haryanvi</t>
        </is>
      </c>
      <c r="M5" s="43" t="n">
        <v>1450000000</v>
      </c>
      <c r="N5" s="40" t="inlineStr">
        <is>
          <t>03:05</t>
        </is>
      </c>
      <c r="O5" s="44" t="inlineStr">
        <is>
          <t>https://youtube.com/watch?v=52_gaj</t>
        </is>
      </c>
      <c r="P5" s="44" t="inlineStr">
        <is>
          <t>https://open.spotify.com/track/52_gaj</t>
        </is>
      </c>
      <c r="Q5" s="44" t="inlineStr">
        <is>
          <t>https://music.apple.com/song/52_gaj</t>
        </is>
      </c>
      <c r="R5" s="44" t="inlineStr">
        <is>
          <t>https://jiosaavn.com/song/52_gaj</t>
        </is>
      </c>
      <c r="S5" s="44" t="inlineStr">
        <is>
          <t>https://gaana.com/song/52_gaj</t>
        </is>
      </c>
      <c r="T5" s="44" t="inlineStr">
        <is>
          <t>https://instagram.com/reels/audio/52_gaj</t>
        </is>
      </c>
      <c r="U5" s="45" t="inlineStr">
        <is>
          <t>Record-breaking Haryanvi cultural anthem</t>
        </is>
      </c>
    </row>
    <row r="6" ht="20" customHeight="1">
      <c r="A6" s="34" t="n">
        <v>3</v>
      </c>
      <c r="B6" s="35" t="inlineStr">
        <is>
          <t>GeetMP3 Haryanvi</t>
        </is>
      </c>
      <c r="C6" s="36" t="n">
        <v>44304</v>
      </c>
      <c r="D6" s="35" t="inlineStr">
        <is>
          <t>Moto</t>
        </is>
      </c>
      <c r="E6" s="35" t="inlineStr">
        <is>
          <t>Desi Hip Hop</t>
        </is>
      </c>
      <c r="F6" s="34" t="inlineStr">
        <is>
          <t>Single</t>
        </is>
      </c>
      <c r="G6" s="35" t="inlineStr">
        <is>
          <t>Diler Kharkiya</t>
        </is>
      </c>
      <c r="H6" s="35" t="inlineStr">
        <is>
          <t>Ajay Hooda</t>
        </is>
      </c>
      <c r="I6" s="35" t="inlineStr">
        <is>
          <t>Aman Jaji</t>
        </is>
      </c>
      <c r="J6" s="35" t="inlineStr">
        <is>
          <t>Aman Jaji</t>
        </is>
      </c>
      <c r="K6" s="35" t="inlineStr">
        <is>
          <t>Ameet Choudhary</t>
        </is>
      </c>
      <c r="L6" s="34" t="inlineStr">
        <is>
          <t>Haryanvi</t>
        </is>
      </c>
      <c r="M6" s="37" t="n">
        <v>620000000</v>
      </c>
      <c r="N6" s="34" t="inlineStr">
        <is>
          <t>03:15</t>
        </is>
      </c>
      <c r="O6" s="38" t="inlineStr">
        <is>
          <t>https://youtube.com/watch?v=moto</t>
        </is>
      </c>
      <c r="P6" s="38" t="inlineStr">
        <is>
          <t>https://open.spotify.com/track/moto</t>
        </is>
      </c>
      <c r="Q6" s="38" t="inlineStr">
        <is>
          <t>https://music.apple.com/song/moto</t>
        </is>
      </c>
      <c r="R6" s="38" t="inlineStr">
        <is>
          <t>https://jiosaavn.com/song/moto</t>
        </is>
      </c>
      <c r="S6" s="38" t="inlineStr">
        <is>
          <t>https://gaana.com/song/moto</t>
        </is>
      </c>
      <c r="T6" s="38" t="inlineStr">
        <is>
          <t>https://instagram.com/reels/audio/moto</t>
        </is>
      </c>
      <c r="U6" s="39" t="inlineStr">
        <is>
          <t>Superhit club &amp; wedding dance staple</t>
        </is>
      </c>
    </row>
    <row r="7" ht="20" customHeight="1">
      <c r="A7" s="40" t="n">
        <v>4</v>
      </c>
      <c r="B7" s="41" t="inlineStr">
        <is>
          <t>GeetMP3 Haryanvi</t>
        </is>
      </c>
      <c r="C7" s="42" t="n">
        <v>45129</v>
      </c>
      <c r="D7" s="41" t="inlineStr">
        <is>
          <t>Kothe Chad Lalkaru</t>
        </is>
      </c>
      <c r="E7" s="41" t="inlineStr">
        <is>
          <t>Desi Beats</t>
        </is>
      </c>
      <c r="F7" s="40" t="inlineStr">
        <is>
          <t>Single</t>
        </is>
      </c>
      <c r="G7" s="41" t="inlineStr">
        <is>
          <t>Renuka Panwar</t>
        </is>
      </c>
      <c r="H7" s="41" t="inlineStr">
        <is>
          <t>Rakesh Majreya</t>
        </is>
      </c>
      <c r="I7" s="41" t="inlineStr">
        <is>
          <t>Aman Jaji</t>
        </is>
      </c>
      <c r="J7" s="41" t="inlineStr">
        <is>
          <t>Aman Jaji</t>
        </is>
      </c>
      <c r="K7" s="41" t="inlineStr">
        <is>
          <t>Sahil Sandhu</t>
        </is>
      </c>
      <c r="L7" s="40" t="inlineStr">
        <is>
          <t>Haryanvi</t>
        </is>
      </c>
      <c r="M7" s="43" t="n">
        <v>78000000</v>
      </c>
      <c r="N7" s="40" t="inlineStr">
        <is>
          <t>03:20</t>
        </is>
      </c>
      <c r="O7" s="44" t="inlineStr">
        <is>
          <t>https://youtube.com/watch?v=kothe_chad</t>
        </is>
      </c>
      <c r="P7" s="44" t="inlineStr">
        <is>
          <t>https://open.spotify.com/track/kothe_chad</t>
        </is>
      </c>
      <c r="Q7" s="44" t="inlineStr">
        <is>
          <t>https://music.apple.com/song/kothe_chad</t>
        </is>
      </c>
      <c r="R7" s="44" t="inlineStr">
        <is>
          <t>https://jiosaavn.com/song/kothe_chad</t>
        </is>
      </c>
      <c r="S7" s="44" t="inlineStr">
        <is>
          <t>https://gaana.com/song/kothe_chad</t>
        </is>
      </c>
      <c r="T7" s="44" t="inlineStr">
        <is>
          <t>https://instagram.com/reels/audio/kothe_chad</t>
        </is>
      </c>
      <c r="U7" s="45" t="inlineStr">
        <is>
          <t>Popular regional summer single</t>
        </is>
      </c>
    </row>
    <row r="8" ht="20" customHeight="1">
      <c r="A8" s="34" t="n">
        <v>5</v>
      </c>
      <c r="B8" s="35" t="inlineStr">
        <is>
          <t>GeetMP3 Haryanvi</t>
        </is>
      </c>
      <c r="C8" s="36" t="n">
        <v>44895</v>
      </c>
      <c r="D8" s="35" t="inlineStr">
        <is>
          <t>Gulab</t>
        </is>
      </c>
      <c r="E8" s="35" t="inlineStr">
        <is>
          <t>Gulab EP</t>
        </is>
      </c>
      <c r="F8" s="34" t="inlineStr">
        <is>
          <t>EP</t>
        </is>
      </c>
      <c r="G8" s="35" t="inlineStr">
        <is>
          <t>Khasa Aala Chahar</t>
        </is>
      </c>
      <c r="H8" s="35" t="inlineStr">
        <is>
          <t>Khasa Aala Chahar</t>
        </is>
      </c>
      <c r="I8" s="35" t="inlineStr">
        <is>
          <t>Bamboo Beats</t>
        </is>
      </c>
      <c r="J8" s="35" t="inlineStr">
        <is>
          <t>Bamboo Beats</t>
        </is>
      </c>
      <c r="K8" s="35" t="inlineStr">
        <is>
          <t>Garry Khatrao</t>
        </is>
      </c>
      <c r="L8" s="34" t="inlineStr">
        <is>
          <t>Haryanvi</t>
        </is>
      </c>
      <c r="M8" s="37" t="n">
        <v>95000000</v>
      </c>
      <c r="N8" s="34" t="inlineStr">
        <is>
          <t>03:00</t>
        </is>
      </c>
      <c r="O8" s="38" t="inlineStr">
        <is>
          <t>https://youtube.com/watch?v=gulab</t>
        </is>
      </c>
      <c r="P8" s="38" t="inlineStr">
        <is>
          <t>https://open.spotify.com/track/gulab</t>
        </is>
      </c>
      <c r="Q8" s="38" t="inlineStr">
        <is>
          <t>https://music.apple.com/song/gulab</t>
        </is>
      </c>
      <c r="R8" s="38" t="inlineStr">
        <is>
          <t>https://jiosaavn.com/song/gulab</t>
        </is>
      </c>
      <c r="S8" s="38" t="inlineStr">
        <is>
          <t>https://gaana.com/song/gulab</t>
        </is>
      </c>
      <c r="T8" s="38" t="inlineStr">
        <is>
          <t>https://instagram.com/reels/audio/gulab</t>
        </is>
      </c>
      <c r="U8" s="39" t="inlineStr">
        <is>
          <t>Top-charting street rap production</t>
        </is>
      </c>
    </row>
    <row r="9" ht="20" customHeight="1">
      <c r="A9" s="40">
        <f>IF(D9&lt;&gt;"",ROW()-3,"")</f>
        <v/>
      </c>
      <c r="B9" s="41">
        <f>IF(D9&lt;&gt;"", "GeetMP3 Haryanvi", "")</f>
        <v/>
      </c>
      <c r="C9" s="42" t="n"/>
      <c r="D9" s="41" t="n"/>
      <c r="E9" s="41" t="n"/>
      <c r="F9" s="40" t="n"/>
      <c r="G9" s="41" t="n"/>
      <c r="H9" s="41" t="n"/>
      <c r="I9" s="41" t="n"/>
      <c r="J9" s="41" t="n"/>
      <c r="K9" s="41" t="n"/>
      <c r="L9" s="40" t="n"/>
      <c r="M9" s="46" t="n"/>
      <c r="N9" s="40" t="n"/>
      <c r="O9" s="41" t="n"/>
      <c r="P9" s="41" t="n"/>
      <c r="Q9" s="41" t="n"/>
      <c r="R9" s="41" t="n"/>
      <c r="S9" s="41" t="n"/>
      <c r="T9" s="41" t="n"/>
      <c r="U9" s="45" t="n"/>
    </row>
    <row r="10" ht="20" customHeight="1">
      <c r="A10" s="34">
        <f>IF(D10&lt;&gt;"",ROW()-3,"")</f>
        <v/>
      </c>
      <c r="B10" s="35">
        <f>IF(D10&lt;&gt;"", "GeetMP3 Haryanvi", "")</f>
        <v/>
      </c>
      <c r="C10" s="36" t="n"/>
      <c r="D10" s="35" t="n"/>
      <c r="E10" s="35" t="n"/>
      <c r="F10" s="34" t="n"/>
      <c r="G10" s="35" t="n"/>
      <c r="H10" s="35" t="n"/>
      <c r="I10" s="35" t="n"/>
      <c r="J10" s="35" t="n"/>
      <c r="K10" s="35" t="n"/>
      <c r="L10" s="34" t="n"/>
      <c r="M10" s="47" t="n"/>
      <c r="N10" s="34" t="n"/>
      <c r="O10" s="35" t="n"/>
      <c r="P10" s="35" t="n"/>
      <c r="Q10" s="35" t="n"/>
      <c r="R10" s="35" t="n"/>
      <c r="S10" s="35" t="n"/>
      <c r="T10" s="35" t="n"/>
      <c r="U10" s="39" t="n"/>
    </row>
    <row r="11" ht="20" customHeight="1">
      <c r="A11" s="40">
        <f>IF(D11&lt;&gt;"",ROW()-3,"")</f>
        <v/>
      </c>
      <c r="B11" s="41">
        <f>IF(D11&lt;&gt;"", "GeetMP3 Haryanvi", "")</f>
        <v/>
      </c>
      <c r="C11" s="42" t="n"/>
      <c r="D11" s="41" t="n"/>
      <c r="E11" s="41" t="n"/>
      <c r="F11" s="40" t="n"/>
      <c r="G11" s="41" t="n"/>
      <c r="H11" s="41" t="n"/>
      <c r="I11" s="41" t="n"/>
      <c r="J11" s="41" t="n"/>
      <c r="K11" s="41" t="n"/>
      <c r="L11" s="40" t="n"/>
      <c r="M11" s="46" t="n"/>
      <c r="N11" s="40" t="n"/>
      <c r="O11" s="41" t="n"/>
      <c r="P11" s="41" t="n"/>
      <c r="Q11" s="41" t="n"/>
      <c r="R11" s="41" t="n"/>
      <c r="S11" s="41" t="n"/>
      <c r="T11" s="41" t="n"/>
      <c r="U11" s="45" t="n"/>
    </row>
    <row r="12" ht="20" customHeight="1">
      <c r="A12" s="34">
        <f>IF(D12&lt;&gt;"",ROW()-3,"")</f>
        <v/>
      </c>
      <c r="B12" s="35">
        <f>IF(D12&lt;&gt;"", "GeetMP3 Haryanvi", "")</f>
        <v/>
      </c>
      <c r="C12" s="36" t="n"/>
      <c r="D12" s="35" t="n"/>
      <c r="E12" s="35" t="n"/>
      <c r="F12" s="34" t="n"/>
      <c r="G12" s="35" t="n"/>
      <c r="H12" s="35" t="n"/>
      <c r="I12" s="35" t="n"/>
      <c r="J12" s="35" t="n"/>
      <c r="K12" s="35" t="n"/>
      <c r="L12" s="34" t="n"/>
      <c r="M12" s="47" t="n"/>
      <c r="N12" s="34" t="n"/>
      <c r="O12" s="35" t="n"/>
      <c r="P12" s="35" t="n"/>
      <c r="Q12" s="35" t="n"/>
      <c r="R12" s="35" t="n"/>
      <c r="S12" s="35" t="n"/>
      <c r="T12" s="35" t="n"/>
      <c r="U12" s="39" t="n"/>
    </row>
    <row r="13" ht="20" customHeight="1">
      <c r="A13" s="40">
        <f>IF(D13&lt;&gt;"",ROW()-3,"")</f>
        <v/>
      </c>
      <c r="B13" s="41">
        <f>IF(D13&lt;&gt;"", "GeetMP3 Haryanvi", "")</f>
        <v/>
      </c>
      <c r="C13" s="42" t="n"/>
      <c r="D13" s="41" t="n"/>
      <c r="E13" s="41" t="n"/>
      <c r="F13" s="40" t="n"/>
      <c r="G13" s="41" t="n"/>
      <c r="H13" s="41" t="n"/>
      <c r="I13" s="41" t="n"/>
      <c r="J13" s="41" t="n"/>
      <c r="K13" s="41" t="n"/>
      <c r="L13" s="40" t="n"/>
      <c r="M13" s="46" t="n"/>
      <c r="N13" s="40" t="n"/>
      <c r="O13" s="41" t="n"/>
      <c r="P13" s="41" t="n"/>
      <c r="Q13" s="41" t="n"/>
      <c r="R13" s="41" t="n"/>
      <c r="S13" s="41" t="n"/>
      <c r="T13" s="41" t="n"/>
      <c r="U13" s="45" t="n"/>
    </row>
    <row r="14" ht="20" customHeight="1">
      <c r="A14" s="34">
        <f>IF(D14&lt;&gt;"",ROW()-3,"")</f>
        <v/>
      </c>
      <c r="B14" s="35">
        <f>IF(D14&lt;&gt;"", "GeetMP3 Haryanvi", "")</f>
        <v/>
      </c>
      <c r="C14" s="36" t="n"/>
      <c r="D14" s="35" t="n"/>
      <c r="E14" s="35" t="n"/>
      <c r="F14" s="34" t="n"/>
      <c r="G14" s="35" t="n"/>
      <c r="H14" s="35" t="n"/>
      <c r="I14" s="35" t="n"/>
      <c r="J14" s="35" t="n"/>
      <c r="K14" s="35" t="n"/>
      <c r="L14" s="34" t="n"/>
      <c r="M14" s="47" t="n"/>
      <c r="N14" s="34" t="n"/>
      <c r="O14" s="35" t="n"/>
      <c r="P14" s="35" t="n"/>
      <c r="Q14" s="35" t="n"/>
      <c r="R14" s="35" t="n"/>
      <c r="S14" s="35" t="n"/>
      <c r="T14" s="35" t="n"/>
      <c r="U14" s="39" t="n"/>
    </row>
    <row r="15" ht="20" customHeight="1">
      <c r="A15" s="40">
        <f>IF(D15&lt;&gt;"",ROW()-3,"")</f>
        <v/>
      </c>
      <c r="B15" s="41">
        <f>IF(D15&lt;&gt;"", "GeetMP3 Haryanvi", "")</f>
        <v/>
      </c>
      <c r="C15" s="42" t="n"/>
      <c r="D15" s="41" t="n"/>
      <c r="E15" s="41" t="n"/>
      <c r="F15" s="40" t="n"/>
      <c r="G15" s="41" t="n"/>
      <c r="H15" s="41" t="n"/>
      <c r="I15" s="41" t="n"/>
      <c r="J15" s="41" t="n"/>
      <c r="K15" s="41" t="n"/>
      <c r="L15" s="40" t="n"/>
      <c r="M15" s="46" t="n"/>
      <c r="N15" s="40" t="n"/>
      <c r="O15" s="41" t="n"/>
      <c r="P15" s="41" t="n"/>
      <c r="Q15" s="41" t="n"/>
      <c r="R15" s="41" t="n"/>
      <c r="S15" s="41" t="n"/>
      <c r="T15" s="41" t="n"/>
      <c r="U15" s="45" t="n"/>
    </row>
    <row r="16" ht="20" customHeight="1">
      <c r="A16" s="34">
        <f>IF(D16&lt;&gt;"",ROW()-3,"")</f>
        <v/>
      </c>
      <c r="B16" s="35">
        <f>IF(D16&lt;&gt;"", "GeetMP3 Haryanvi", "")</f>
        <v/>
      </c>
      <c r="C16" s="36" t="n"/>
      <c r="D16" s="35" t="n"/>
      <c r="E16" s="35" t="n"/>
      <c r="F16" s="34" t="n"/>
      <c r="G16" s="35" t="n"/>
      <c r="H16" s="35" t="n"/>
      <c r="I16" s="35" t="n"/>
      <c r="J16" s="35" t="n"/>
      <c r="K16" s="35" t="n"/>
      <c r="L16" s="34" t="n"/>
      <c r="M16" s="47" t="n"/>
      <c r="N16" s="34" t="n"/>
      <c r="O16" s="35" t="n"/>
      <c r="P16" s="35" t="n"/>
      <c r="Q16" s="35" t="n"/>
      <c r="R16" s="35" t="n"/>
      <c r="S16" s="35" t="n"/>
      <c r="T16" s="35" t="n"/>
      <c r="U16" s="39" t="n"/>
    </row>
    <row r="17" ht="20" customHeight="1">
      <c r="A17" s="40">
        <f>IF(D17&lt;&gt;"",ROW()-3,"")</f>
        <v/>
      </c>
      <c r="B17" s="41">
        <f>IF(D17&lt;&gt;"", "GeetMP3 Haryanvi", "")</f>
        <v/>
      </c>
      <c r="C17" s="42" t="n"/>
      <c r="D17" s="41" t="n"/>
      <c r="E17" s="41" t="n"/>
      <c r="F17" s="40" t="n"/>
      <c r="G17" s="41" t="n"/>
      <c r="H17" s="41" t="n"/>
      <c r="I17" s="41" t="n"/>
      <c r="J17" s="41" t="n"/>
      <c r="K17" s="41" t="n"/>
      <c r="L17" s="40" t="n"/>
      <c r="M17" s="46" t="n"/>
      <c r="N17" s="40" t="n"/>
      <c r="O17" s="41" t="n"/>
      <c r="P17" s="41" t="n"/>
      <c r="Q17" s="41" t="n"/>
      <c r="R17" s="41" t="n"/>
      <c r="S17" s="41" t="n"/>
      <c r="T17" s="41" t="n"/>
      <c r="U17" s="45" t="n"/>
    </row>
    <row r="18" ht="20" customHeight="1">
      <c r="A18" s="34">
        <f>IF(D18&lt;&gt;"",ROW()-3,"")</f>
        <v/>
      </c>
      <c r="B18" s="35">
        <f>IF(D18&lt;&gt;"", "GeetMP3 Haryanvi", "")</f>
        <v/>
      </c>
      <c r="C18" s="36" t="n"/>
      <c r="D18" s="35" t="n"/>
      <c r="E18" s="35" t="n"/>
      <c r="F18" s="34" t="n"/>
      <c r="G18" s="35" t="n"/>
      <c r="H18" s="35" t="n"/>
      <c r="I18" s="35" t="n"/>
      <c r="J18" s="35" t="n"/>
      <c r="K18" s="35" t="n"/>
      <c r="L18" s="34" t="n"/>
      <c r="M18" s="47" t="n"/>
      <c r="N18" s="34" t="n"/>
      <c r="O18" s="35" t="n"/>
      <c r="P18" s="35" t="n"/>
      <c r="Q18" s="35" t="n"/>
      <c r="R18" s="35" t="n"/>
      <c r="S18" s="35" t="n"/>
      <c r="T18" s="35" t="n"/>
      <c r="U18" s="39" t="n"/>
    </row>
    <row r="19" ht="20" customHeight="1">
      <c r="A19" s="40">
        <f>IF(D19&lt;&gt;"",ROW()-3,"")</f>
        <v/>
      </c>
      <c r="B19" s="41">
        <f>IF(D19&lt;&gt;"", "GeetMP3 Haryanvi", "")</f>
        <v/>
      </c>
      <c r="C19" s="42" t="n"/>
      <c r="D19" s="41" t="n"/>
      <c r="E19" s="41" t="n"/>
      <c r="F19" s="40" t="n"/>
      <c r="G19" s="41" t="n"/>
      <c r="H19" s="41" t="n"/>
      <c r="I19" s="41" t="n"/>
      <c r="J19" s="41" t="n"/>
      <c r="K19" s="41" t="n"/>
      <c r="L19" s="40" t="n"/>
      <c r="M19" s="46" t="n"/>
      <c r="N19" s="40" t="n"/>
      <c r="O19" s="41" t="n"/>
      <c r="P19" s="41" t="n"/>
      <c r="Q19" s="41" t="n"/>
      <c r="R19" s="41" t="n"/>
      <c r="S19" s="41" t="n"/>
      <c r="T19" s="41" t="n"/>
      <c r="U19" s="45" t="n"/>
    </row>
    <row r="20" ht="20" customHeight="1">
      <c r="A20" s="34">
        <f>IF(D20&lt;&gt;"",ROW()-3,"")</f>
        <v/>
      </c>
      <c r="B20" s="35">
        <f>IF(D20&lt;&gt;"", "GeetMP3 Haryanvi", "")</f>
        <v/>
      </c>
      <c r="C20" s="36" t="n"/>
      <c r="D20" s="35" t="n"/>
      <c r="E20" s="35" t="n"/>
      <c r="F20" s="34" t="n"/>
      <c r="G20" s="35" t="n"/>
      <c r="H20" s="35" t="n"/>
      <c r="I20" s="35" t="n"/>
      <c r="J20" s="35" t="n"/>
      <c r="K20" s="35" t="n"/>
      <c r="L20" s="34" t="n"/>
      <c r="M20" s="47" t="n"/>
      <c r="N20" s="34" t="n"/>
      <c r="O20" s="35" t="n"/>
      <c r="P20" s="35" t="n"/>
      <c r="Q20" s="35" t="n"/>
      <c r="R20" s="35" t="n"/>
      <c r="S20" s="35" t="n"/>
      <c r="T20" s="35" t="n"/>
      <c r="U20" s="39" t="n"/>
    </row>
    <row r="21" ht="20" customHeight="1">
      <c r="A21" s="40">
        <f>IF(D21&lt;&gt;"",ROW()-3,"")</f>
        <v/>
      </c>
      <c r="B21" s="41">
        <f>IF(D21&lt;&gt;"", "GeetMP3 Haryanvi", "")</f>
        <v/>
      </c>
      <c r="C21" s="42" t="n"/>
      <c r="D21" s="41" t="n"/>
      <c r="E21" s="41" t="n"/>
      <c r="F21" s="40" t="n"/>
      <c r="G21" s="41" t="n"/>
      <c r="H21" s="41" t="n"/>
      <c r="I21" s="41" t="n"/>
      <c r="J21" s="41" t="n"/>
      <c r="K21" s="41" t="n"/>
      <c r="L21" s="40" t="n"/>
      <c r="M21" s="46" t="n"/>
      <c r="N21" s="40" t="n"/>
      <c r="O21" s="41" t="n"/>
      <c r="P21" s="41" t="n"/>
      <c r="Q21" s="41" t="n"/>
      <c r="R21" s="41" t="n"/>
      <c r="S21" s="41" t="n"/>
      <c r="T21" s="41" t="n"/>
      <c r="U21" s="45" t="n"/>
    </row>
    <row r="22" ht="20" customHeight="1">
      <c r="A22" s="34">
        <f>IF(D22&lt;&gt;"",ROW()-3,"")</f>
        <v/>
      </c>
      <c r="B22" s="35">
        <f>IF(D22&lt;&gt;"", "GeetMP3 Haryanvi", "")</f>
        <v/>
      </c>
      <c r="C22" s="36" t="n"/>
      <c r="D22" s="35" t="n"/>
      <c r="E22" s="35" t="n"/>
      <c r="F22" s="34" t="n"/>
      <c r="G22" s="35" t="n"/>
      <c r="H22" s="35" t="n"/>
      <c r="I22" s="35" t="n"/>
      <c r="J22" s="35" t="n"/>
      <c r="K22" s="35" t="n"/>
      <c r="L22" s="34" t="n"/>
      <c r="M22" s="47" t="n"/>
      <c r="N22" s="34" t="n"/>
      <c r="O22" s="35" t="n"/>
      <c r="P22" s="35" t="n"/>
      <c r="Q22" s="35" t="n"/>
      <c r="R22" s="35" t="n"/>
      <c r="S22" s="35" t="n"/>
      <c r="T22" s="35" t="n"/>
      <c r="U22" s="39" t="n"/>
    </row>
    <row r="23" ht="20" customHeight="1">
      <c r="A23" s="40">
        <f>IF(D23&lt;&gt;"",ROW()-3,"")</f>
        <v/>
      </c>
      <c r="B23" s="41">
        <f>IF(D23&lt;&gt;"", "GeetMP3 Haryanvi", "")</f>
        <v/>
      </c>
      <c r="C23" s="42" t="n"/>
      <c r="D23" s="41" t="n"/>
      <c r="E23" s="41" t="n"/>
      <c r="F23" s="40" t="n"/>
      <c r="G23" s="41" t="n"/>
      <c r="H23" s="41" t="n"/>
      <c r="I23" s="41" t="n"/>
      <c r="J23" s="41" t="n"/>
      <c r="K23" s="41" t="n"/>
      <c r="L23" s="40" t="n"/>
      <c r="M23" s="46" t="n"/>
      <c r="N23" s="40" t="n"/>
      <c r="O23" s="41" t="n"/>
      <c r="P23" s="41" t="n"/>
      <c r="Q23" s="41" t="n"/>
      <c r="R23" s="41" t="n"/>
      <c r="S23" s="41" t="n"/>
      <c r="T23" s="41" t="n"/>
      <c r="U23" s="45" t="n"/>
    </row>
    <row r="24" ht="20" customHeight="1">
      <c r="A24" s="34">
        <f>IF(D24&lt;&gt;"",ROW()-3,"")</f>
        <v/>
      </c>
      <c r="B24" s="35">
        <f>IF(D24&lt;&gt;"", "GeetMP3 Haryanvi", "")</f>
        <v/>
      </c>
      <c r="C24" s="36" t="n"/>
      <c r="D24" s="35" t="n"/>
      <c r="E24" s="35" t="n"/>
      <c r="F24" s="34" t="n"/>
      <c r="G24" s="35" t="n"/>
      <c r="H24" s="35" t="n"/>
      <c r="I24" s="35" t="n"/>
      <c r="J24" s="35" t="n"/>
      <c r="K24" s="35" t="n"/>
      <c r="L24" s="34" t="n"/>
      <c r="M24" s="47" t="n"/>
      <c r="N24" s="34" t="n"/>
      <c r="O24" s="35" t="n"/>
      <c r="P24" s="35" t="n"/>
      <c r="Q24" s="35" t="n"/>
      <c r="R24" s="35" t="n"/>
      <c r="S24" s="35" t="n"/>
      <c r="T24" s="35" t="n"/>
      <c r="U24" s="39" t="n"/>
    </row>
    <row r="25" ht="20" customHeight="1">
      <c r="A25" s="40">
        <f>IF(D25&lt;&gt;"",ROW()-3,"")</f>
        <v/>
      </c>
      <c r="B25" s="41">
        <f>IF(D25&lt;&gt;"", "GeetMP3 Haryanvi", "")</f>
        <v/>
      </c>
      <c r="C25" s="42" t="n"/>
      <c r="D25" s="41" t="n"/>
      <c r="E25" s="41" t="n"/>
      <c r="F25" s="40" t="n"/>
      <c r="G25" s="41" t="n"/>
      <c r="H25" s="41" t="n"/>
      <c r="I25" s="41" t="n"/>
      <c r="J25" s="41" t="n"/>
      <c r="K25" s="41" t="n"/>
      <c r="L25" s="40" t="n"/>
      <c r="M25" s="46" t="n"/>
      <c r="N25" s="40" t="n"/>
      <c r="O25" s="41" t="n"/>
      <c r="P25" s="41" t="n"/>
      <c r="Q25" s="41" t="n"/>
      <c r="R25" s="41" t="n"/>
      <c r="S25" s="41" t="n"/>
      <c r="T25" s="41" t="n"/>
      <c r="U25" s="45" t="n"/>
    </row>
    <row r="26" ht="20" customHeight="1">
      <c r="A26" s="34">
        <f>IF(D26&lt;&gt;"",ROW()-3,"")</f>
        <v/>
      </c>
      <c r="B26" s="35">
        <f>IF(D26&lt;&gt;"", "GeetMP3 Haryanvi", "")</f>
        <v/>
      </c>
      <c r="C26" s="36" t="n"/>
      <c r="D26" s="35" t="n"/>
      <c r="E26" s="35" t="n"/>
      <c r="F26" s="34" t="n"/>
      <c r="G26" s="35" t="n"/>
      <c r="H26" s="35" t="n"/>
      <c r="I26" s="35" t="n"/>
      <c r="J26" s="35" t="n"/>
      <c r="K26" s="35" t="n"/>
      <c r="L26" s="34" t="n"/>
      <c r="M26" s="47" t="n"/>
      <c r="N26" s="34" t="n"/>
      <c r="O26" s="35" t="n"/>
      <c r="P26" s="35" t="n"/>
      <c r="Q26" s="35" t="n"/>
      <c r="R26" s="35" t="n"/>
      <c r="S26" s="35" t="n"/>
      <c r="T26" s="35" t="n"/>
      <c r="U26" s="39" t="n"/>
    </row>
    <row r="27" ht="20" customHeight="1">
      <c r="A27" s="40">
        <f>IF(D27&lt;&gt;"",ROW()-3,"")</f>
        <v/>
      </c>
      <c r="B27" s="41">
        <f>IF(D27&lt;&gt;"", "GeetMP3 Haryanvi", "")</f>
        <v/>
      </c>
      <c r="C27" s="42" t="n"/>
      <c r="D27" s="41" t="n"/>
      <c r="E27" s="41" t="n"/>
      <c r="F27" s="40" t="n"/>
      <c r="G27" s="41" t="n"/>
      <c r="H27" s="41" t="n"/>
      <c r="I27" s="41" t="n"/>
      <c r="J27" s="41" t="n"/>
      <c r="K27" s="41" t="n"/>
      <c r="L27" s="40" t="n"/>
      <c r="M27" s="46" t="n"/>
      <c r="N27" s="40" t="n"/>
      <c r="O27" s="41" t="n"/>
      <c r="P27" s="41" t="n"/>
      <c r="Q27" s="41" t="n"/>
      <c r="R27" s="41" t="n"/>
      <c r="S27" s="41" t="n"/>
      <c r="T27" s="41" t="n"/>
      <c r="U27" s="45" t="n"/>
    </row>
    <row r="28" ht="20" customHeight="1">
      <c r="A28" s="34">
        <f>IF(D28&lt;&gt;"",ROW()-3,"")</f>
        <v/>
      </c>
      <c r="B28" s="35">
        <f>IF(D28&lt;&gt;"", "GeetMP3 Haryanvi", "")</f>
        <v/>
      </c>
      <c r="C28" s="36" t="n"/>
      <c r="D28" s="35" t="n"/>
      <c r="E28" s="35" t="n"/>
      <c r="F28" s="34" t="n"/>
      <c r="G28" s="35" t="n"/>
      <c r="H28" s="35" t="n"/>
      <c r="I28" s="35" t="n"/>
      <c r="J28" s="35" t="n"/>
      <c r="K28" s="35" t="n"/>
      <c r="L28" s="34" t="n"/>
      <c r="M28" s="47" t="n"/>
      <c r="N28" s="34" t="n"/>
      <c r="O28" s="35" t="n"/>
      <c r="P28" s="35" t="n"/>
      <c r="Q28" s="35" t="n"/>
      <c r="R28" s="35" t="n"/>
      <c r="S28" s="35" t="n"/>
      <c r="T28" s="35" t="n"/>
      <c r="U28" s="39" t="n"/>
    </row>
    <row r="29" ht="20" customHeight="1">
      <c r="A29" s="40">
        <f>IF(D29&lt;&gt;"",ROW()-3,"")</f>
        <v/>
      </c>
      <c r="B29" s="41">
        <f>IF(D29&lt;&gt;"", "GeetMP3 Haryanvi", "")</f>
        <v/>
      </c>
      <c r="C29" s="42" t="n"/>
      <c r="D29" s="41" t="n"/>
      <c r="E29" s="41" t="n"/>
      <c r="F29" s="40" t="n"/>
      <c r="G29" s="41" t="n"/>
      <c r="H29" s="41" t="n"/>
      <c r="I29" s="41" t="n"/>
      <c r="J29" s="41" t="n"/>
      <c r="K29" s="41" t="n"/>
      <c r="L29" s="40" t="n"/>
      <c r="M29" s="46" t="n"/>
      <c r="N29" s="40" t="n"/>
      <c r="O29" s="41" t="n"/>
      <c r="P29" s="41" t="n"/>
      <c r="Q29" s="41" t="n"/>
      <c r="R29" s="41" t="n"/>
      <c r="S29" s="41" t="n"/>
      <c r="T29" s="41" t="n"/>
      <c r="U29" s="45" t="n"/>
    </row>
    <row r="30" ht="20" customHeight="1">
      <c r="A30" s="34">
        <f>IF(D30&lt;&gt;"",ROW()-3,"")</f>
        <v/>
      </c>
      <c r="B30" s="35">
        <f>IF(D30&lt;&gt;"", "GeetMP3 Haryanvi", "")</f>
        <v/>
      </c>
      <c r="C30" s="36" t="n"/>
      <c r="D30" s="35" t="n"/>
      <c r="E30" s="35" t="n"/>
      <c r="F30" s="34" t="n"/>
      <c r="G30" s="35" t="n"/>
      <c r="H30" s="35" t="n"/>
      <c r="I30" s="35" t="n"/>
      <c r="J30" s="35" t="n"/>
      <c r="K30" s="35" t="n"/>
      <c r="L30" s="34" t="n"/>
      <c r="M30" s="47" t="n"/>
      <c r="N30" s="34" t="n"/>
      <c r="O30" s="35" t="n"/>
      <c r="P30" s="35" t="n"/>
      <c r="Q30" s="35" t="n"/>
      <c r="R30" s="35" t="n"/>
      <c r="S30" s="35" t="n"/>
      <c r="T30" s="35" t="n"/>
      <c r="U30" s="39" t="n"/>
    </row>
  </sheetData>
  <autoFilter ref="A3:U30"/>
  <mergeCells count="3">
    <mergeCell ref="R1:U1"/>
    <mergeCell ref="A1:Q1"/>
    <mergeCell ref="A2:U2"/>
  </mergeCells>
  <dataValidations count="2">
    <dataValidation sqref="F4:F5000" showDropDown="0" showInputMessage="0" showErrorMessage="0" allowBlank="1" errorTitle="Invalid Release Type" error="Please select a valid Release Type (Single, Album, Movie, EP, Other)." promptTitle="Release Type" prompt="Choose release type from dropdown" type="list">
      <formula1>"Single,Album,Movie,EP,Other"</formula1>
    </dataValidation>
    <dataValidation sqref="L4:L5000" showDropDown="0" showInputMessage="0" showErrorMessage="0" allowBlank="1" errorTitle="Invalid Language" error="Please choose a valid language from the list." promptTitle="Language" prompt="Select language from dropdown" type="list">
      <formula1>"Punjabi,Haryanvi,Hindi,Devotional / Sanskrit,Rajasthani,Other"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0"/>
  <sheetViews>
    <sheetView showGridLines="1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28" customWidth="1" min="4" max="4"/>
    <col width="24" customWidth="1" min="5" max="5"/>
    <col width="16" customWidth="1" min="6" max="6"/>
    <col width="22" customWidth="1" min="7" max="7"/>
    <col width="20" customWidth="1" min="8" max="8"/>
    <col width="20" customWidth="1" min="9" max="9"/>
    <col width="20" customWidth="1" min="10" max="10"/>
    <col width="20" customWidth="1" min="11" max="11"/>
    <col width="18" customWidth="1" min="12" max="12"/>
    <col width="16" customWidth="1" min="13" max="13"/>
    <col width="14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36" customWidth="1" min="21" max="21"/>
  </cols>
  <sheetData>
    <row r="1" ht="28" customHeight="1">
      <c r="A1" s="50" t="inlineStr">
        <is>
          <t>GEETMP3 - GEET MP3 DEVOTIONAL SONG CATALOG &amp; METADATA MANAGEMENT</t>
        </is>
      </c>
      <c r="R1" s="32">
        <f>HYPERLINK("#'Dashboard'!A1", "⬅ Return to Executive Dashboard")</f>
        <v/>
      </c>
    </row>
    <row r="2" ht="18" customHeight="1">
      <c r="A2" s="33" t="inlineStr">
        <is>
          <t>Geet MP3 Devotional | Spiritual Bhajans, Aarti, Kirtan, Chants &amp; Shabad Gurbani | Real-time synchronized with central dashboard. Scalable for 10,000+ tracks.</t>
        </is>
      </c>
    </row>
    <row r="3" ht="26" customHeight="1">
      <c r="A3" s="15" t="inlineStr">
        <is>
          <t>Sr. No.</t>
        </is>
      </c>
      <c r="B3" s="15" t="inlineStr">
        <is>
          <t>Label</t>
        </is>
      </c>
      <c r="C3" s="15" t="inlineStr">
        <is>
          <t>Release Date</t>
        </is>
      </c>
      <c r="D3" s="15" t="inlineStr">
        <is>
          <t>Song Name</t>
        </is>
      </c>
      <c r="E3" s="15" t="inlineStr">
        <is>
          <t>Album / Project</t>
        </is>
      </c>
      <c r="F3" s="15" t="inlineStr">
        <is>
          <t>Release Type</t>
        </is>
      </c>
      <c r="G3" s="15" t="inlineStr">
        <is>
          <t>Singer</t>
        </is>
      </c>
      <c r="H3" s="15" t="inlineStr">
        <is>
          <t>Lyricist</t>
        </is>
      </c>
      <c r="I3" s="15" t="inlineStr">
        <is>
          <t>Composer</t>
        </is>
      </c>
      <c r="J3" s="15" t="inlineStr">
        <is>
          <t>Music Director</t>
        </is>
      </c>
      <c r="K3" s="15" t="inlineStr">
        <is>
          <t>Video Director</t>
        </is>
      </c>
      <c r="L3" s="15" t="inlineStr">
        <is>
          <t>Language</t>
        </is>
      </c>
      <c r="M3" s="15" t="inlineStr">
        <is>
          <t>YouTube Views</t>
        </is>
      </c>
      <c r="N3" s="15" t="inlineStr">
        <is>
          <t>Video Duration</t>
        </is>
      </c>
      <c r="O3" s="15" t="inlineStr">
        <is>
          <t>YouTube Link</t>
        </is>
      </c>
      <c r="P3" s="15" t="inlineStr">
        <is>
          <t>Spotify</t>
        </is>
      </c>
      <c r="Q3" s="15" t="inlineStr">
        <is>
          <t>Apple Music</t>
        </is>
      </c>
      <c r="R3" s="15" t="inlineStr">
        <is>
          <t>JioSaavn</t>
        </is>
      </c>
      <c r="S3" s="15" t="inlineStr">
        <is>
          <t>Gaana</t>
        </is>
      </c>
      <c r="T3" s="15" t="inlineStr">
        <is>
          <t>Instagram Audio Link</t>
        </is>
      </c>
      <c r="U3" s="15" t="inlineStr">
        <is>
          <t>Remarks</t>
        </is>
      </c>
    </row>
    <row r="4" ht="20" customHeight="1">
      <c r="A4" s="34" t="n">
        <v>1</v>
      </c>
      <c r="B4" s="35" t="inlineStr">
        <is>
          <t>Geet MP3 Devotional</t>
        </is>
      </c>
      <c r="C4" s="36" t="n">
        <v>44197</v>
      </c>
      <c r="D4" s="35" t="inlineStr">
        <is>
          <t>Shri Hanuman Chalisa</t>
        </is>
      </c>
      <c r="E4" s="35" t="inlineStr">
        <is>
          <t>Sankat Mochan</t>
        </is>
      </c>
      <c r="F4" s="34" t="inlineStr">
        <is>
          <t>Album</t>
        </is>
      </c>
      <c r="G4" s="35" t="inlineStr">
        <is>
          <t>Hariharan</t>
        </is>
      </c>
      <c r="H4" s="35" t="inlineStr">
        <is>
          <t>Traditional</t>
        </is>
      </c>
      <c r="I4" s="35" t="inlineStr">
        <is>
          <t>Lalit Sen</t>
        </is>
      </c>
      <c r="J4" s="35" t="inlineStr">
        <is>
          <t>Lalit Sen</t>
        </is>
      </c>
      <c r="K4" s="35" t="inlineStr">
        <is>
          <t>Rameshwar Prasad</t>
        </is>
      </c>
      <c r="L4" s="34" t="inlineStr">
        <is>
          <t>Hindi</t>
        </is>
      </c>
      <c r="M4" s="37" t="n">
        <v>420000000</v>
      </c>
      <c r="N4" s="34" t="inlineStr">
        <is>
          <t>09:45</t>
        </is>
      </c>
      <c r="O4" s="38" t="inlineStr">
        <is>
          <t>https://youtube.com/watch?v=hanuman_chalisa</t>
        </is>
      </c>
      <c r="P4" s="38" t="inlineStr">
        <is>
          <t>https://open.spotify.com/track/hanuman_chalisa</t>
        </is>
      </c>
      <c r="Q4" s="38" t="inlineStr">
        <is>
          <t>https://music.apple.com/song/hanuman_chalisa</t>
        </is>
      </c>
      <c r="R4" s="38" t="inlineStr">
        <is>
          <t>https://jiosaavn.com/song/hanuman_chalisa</t>
        </is>
      </c>
      <c r="S4" s="38" t="inlineStr">
        <is>
          <t>https://gaana.com/song/hanuman_chalisa</t>
        </is>
      </c>
      <c r="T4" s="38" t="inlineStr">
        <is>
          <t>https://instagram.com/reels/audio/hanuman_chalisa</t>
        </is>
      </c>
      <c r="U4" s="39" t="inlineStr">
        <is>
          <t>Morning devotional staple, evergreen daily streams</t>
        </is>
      </c>
    </row>
    <row r="5" ht="20" customHeight="1">
      <c r="A5" s="40" t="n">
        <v>2</v>
      </c>
      <c r="B5" s="41" t="inlineStr">
        <is>
          <t>Geet MP3 Devotional</t>
        </is>
      </c>
      <c r="C5" s="42" t="n">
        <v>44792</v>
      </c>
      <c r="D5" s="41" t="inlineStr">
        <is>
          <t>Achyutam Keshavam</t>
        </is>
      </c>
      <c r="E5" s="41" t="inlineStr">
        <is>
          <t>Krishna Leela</t>
        </is>
      </c>
      <c r="F5" s="40" t="inlineStr">
        <is>
          <t>Single</t>
        </is>
      </c>
      <c r="G5" s="41" t="inlineStr">
        <is>
          <t>Vikram Hazra</t>
        </is>
      </c>
      <c r="H5" s="41" t="inlineStr">
        <is>
          <t>Traditional</t>
        </is>
      </c>
      <c r="I5" s="41" t="inlineStr">
        <is>
          <t>Vikram Hazra</t>
        </is>
      </c>
      <c r="J5" s="41" t="inlineStr">
        <is>
          <t>Vikram Hazra</t>
        </is>
      </c>
      <c r="K5" s="41" t="inlineStr">
        <is>
          <t>Brijesh Sharma</t>
        </is>
      </c>
      <c r="L5" s="40" t="inlineStr">
        <is>
          <t>Devotional / Sanskrit</t>
        </is>
      </c>
      <c r="M5" s="43" t="n">
        <v>165000000</v>
      </c>
      <c r="N5" s="40" t="inlineStr">
        <is>
          <t>06:12</t>
        </is>
      </c>
      <c r="O5" s="44" t="inlineStr">
        <is>
          <t>https://youtube.com/watch?v=achyutam_keshavam</t>
        </is>
      </c>
      <c r="P5" s="44" t="inlineStr">
        <is>
          <t>https://open.spotify.com/track/achyutam_keshavam</t>
        </is>
      </c>
      <c r="Q5" s="44" t="inlineStr">
        <is>
          <t>https://music.apple.com/song/achyutam_keshavam</t>
        </is>
      </c>
      <c r="R5" s="44" t="inlineStr">
        <is>
          <t>https://jiosaavn.com/song/achyutam_keshavam</t>
        </is>
      </c>
      <c r="S5" s="44" t="inlineStr">
        <is>
          <t>https://gaana.com/song/achyutam_keshavam</t>
        </is>
      </c>
      <c r="T5" s="44" t="inlineStr">
        <is>
          <t>https://instagram.com/reels/audio/achyutam_keshavam</t>
        </is>
      </c>
      <c r="U5" s="45" t="inlineStr">
        <is>
          <t>Janmashtami viral devotional anthem</t>
        </is>
      </c>
    </row>
    <row r="6" ht="20" customHeight="1">
      <c r="A6" s="34" t="n">
        <v>3</v>
      </c>
      <c r="B6" s="35" t="inlineStr">
        <is>
          <t>Geet MP3 Devotional</t>
        </is>
      </c>
      <c r="C6" s="36" t="n">
        <v>44149</v>
      </c>
      <c r="D6" s="35" t="inlineStr">
        <is>
          <t>Maha Mrityunjaya Mantra 108 Times</t>
        </is>
      </c>
      <c r="E6" s="35" t="inlineStr">
        <is>
          <t>Shiva Shambhu</t>
        </is>
      </c>
      <c r="F6" s="34" t="inlineStr">
        <is>
          <t>Single</t>
        </is>
      </c>
      <c r="G6" s="35" t="inlineStr">
        <is>
          <t>Rattan Mohan Sharma</t>
        </is>
      </c>
      <c r="H6" s="35" t="inlineStr">
        <is>
          <t>Traditional</t>
        </is>
      </c>
      <c r="I6" s="35" t="inlineStr">
        <is>
          <t>Pandit Jasraj</t>
        </is>
      </c>
      <c r="J6" s="35" t="inlineStr">
        <is>
          <t>Pandit Jasraj</t>
        </is>
      </c>
      <c r="K6" s="35" t="inlineStr">
        <is>
          <t>Dharmesh Soni</t>
        </is>
      </c>
      <c r="L6" s="34" t="inlineStr">
        <is>
          <t>Devotional / Sanskrit</t>
        </is>
      </c>
      <c r="M6" s="37" t="n">
        <v>210000000</v>
      </c>
      <c r="N6" s="34" t="inlineStr">
        <is>
          <t>28:30</t>
        </is>
      </c>
      <c r="O6" s="38" t="inlineStr">
        <is>
          <t>https://youtube.com/watch?v=maha_mrityunjaya</t>
        </is>
      </c>
      <c r="P6" s="38" t="inlineStr">
        <is>
          <t>https://open.spotify.com/track/maha_mrityunjaya</t>
        </is>
      </c>
      <c r="Q6" s="38" t="inlineStr">
        <is>
          <t>https://music.apple.com/song/maha_mrityunjaya</t>
        </is>
      </c>
      <c r="R6" s="38" t="inlineStr">
        <is>
          <t>https://jiosaavn.com/song/maha_mrityunjaya</t>
        </is>
      </c>
      <c r="S6" s="38" t="inlineStr">
        <is>
          <t>https://gaana.com/song/maha_mrityunjaya</t>
        </is>
      </c>
      <c r="T6" s="38" t="inlineStr">
        <is>
          <t>https://instagram.com/reels/audio/maha_mrityunjaya</t>
        </is>
      </c>
      <c r="U6" s="39" t="inlineStr">
        <is>
          <t>Continuous meditative chanting recording</t>
        </is>
      </c>
    </row>
    <row r="7" ht="20" customHeight="1">
      <c r="A7" s="40" t="n">
        <v>4</v>
      </c>
      <c r="B7" s="41" t="inlineStr">
        <is>
          <t>Geet MP3 Devotional</t>
        </is>
      </c>
      <c r="C7" s="42" t="n">
        <v>45007</v>
      </c>
      <c r="D7" s="41" t="inlineStr">
        <is>
          <t>Jai Ganesh Deva (Aarti)</t>
        </is>
      </c>
      <c r="E7" s="41" t="inlineStr">
        <is>
          <t>Aarti Sangrah</t>
        </is>
      </c>
      <c r="F7" s="40" t="inlineStr">
        <is>
          <t>EP</t>
        </is>
      </c>
      <c r="G7" s="41" t="inlineStr">
        <is>
          <t>Anuradha Paudwal</t>
        </is>
      </c>
      <c r="H7" s="41" t="inlineStr">
        <is>
          <t>Traditional</t>
        </is>
      </c>
      <c r="I7" s="41" t="inlineStr">
        <is>
          <t>Arun Paudwal</t>
        </is>
      </c>
      <c r="J7" s="41" t="inlineStr">
        <is>
          <t>Arun Paudwal</t>
        </is>
      </c>
      <c r="K7" s="41" t="inlineStr">
        <is>
          <t>Surinder Sodhi</t>
        </is>
      </c>
      <c r="L7" s="40" t="inlineStr">
        <is>
          <t>Hindi</t>
        </is>
      </c>
      <c r="M7" s="43" t="n">
        <v>130000000</v>
      </c>
      <c r="N7" s="40" t="inlineStr">
        <is>
          <t>04:55</t>
        </is>
      </c>
      <c r="O7" s="44" t="inlineStr">
        <is>
          <t>https://youtube.com/watch?v=jai_ganesh</t>
        </is>
      </c>
      <c r="P7" s="44" t="inlineStr">
        <is>
          <t>https://open.spotify.com/track/jai_ganesh</t>
        </is>
      </c>
      <c r="Q7" s="44" t="inlineStr">
        <is>
          <t>https://music.apple.com/song/jai_ganesh</t>
        </is>
      </c>
      <c r="R7" s="44" t="inlineStr">
        <is>
          <t>https://jiosaavn.com/song/jai_ganesh</t>
        </is>
      </c>
      <c r="S7" s="44" t="inlineStr">
        <is>
          <t>https://gaana.com/song/jai_ganesh</t>
        </is>
      </c>
      <c r="T7" s="44" t="inlineStr">
        <is>
          <t>https://instagram.com/reels/audio/jai_ganesh</t>
        </is>
      </c>
      <c r="U7" s="45" t="inlineStr">
        <is>
          <t>Festive Ganesh Chaturthi essential</t>
        </is>
      </c>
    </row>
    <row r="8" ht="20" customHeight="1">
      <c r="A8" s="34" t="n">
        <v>5</v>
      </c>
      <c r="B8" s="35" t="inlineStr">
        <is>
          <t>Geet MP3 Devotional</t>
        </is>
      </c>
      <c r="C8" s="36" t="n">
        <v>44836</v>
      </c>
      <c r="D8" s="35" t="inlineStr">
        <is>
          <t>Mata Rani Ke Bhajan (Bhor Bhai Din)</t>
        </is>
      </c>
      <c r="E8" s="35" t="inlineStr">
        <is>
          <t>Mata Ki Bhentein</t>
        </is>
      </c>
      <c r="F8" s="34" t="inlineStr">
        <is>
          <t>Album</t>
        </is>
      </c>
      <c r="G8" s="35" t="inlineStr">
        <is>
          <t>Narendra Chanchal</t>
        </is>
      </c>
      <c r="H8" s="35" t="inlineStr">
        <is>
          <t>Traditional</t>
        </is>
      </c>
      <c r="I8" s="35" t="inlineStr">
        <is>
          <t>Surinder Sodhi</t>
        </is>
      </c>
      <c r="J8" s="35" t="inlineStr">
        <is>
          <t>Surinder Sodhi</t>
        </is>
      </c>
      <c r="K8" s="35" t="inlineStr">
        <is>
          <t>Pawan Kumar</t>
        </is>
      </c>
      <c r="L8" s="34" t="inlineStr">
        <is>
          <t>Hindi</t>
        </is>
      </c>
      <c r="M8" s="37" t="n">
        <v>88000000</v>
      </c>
      <c r="N8" s="34" t="inlineStr">
        <is>
          <t>07:20</t>
        </is>
      </c>
      <c r="O8" s="38" t="inlineStr">
        <is>
          <t>https://youtube.com/watch?v=bhor_bhai</t>
        </is>
      </c>
      <c r="P8" s="38" t="inlineStr">
        <is>
          <t>https://open.spotify.com/track/bhor_bhai</t>
        </is>
      </c>
      <c r="Q8" s="38" t="inlineStr">
        <is>
          <t>https://music.apple.com/song/bhor_bhai</t>
        </is>
      </c>
      <c r="R8" s="38" t="inlineStr">
        <is>
          <t>https://jiosaavn.com/song/bhor_bhai</t>
        </is>
      </c>
      <c r="S8" s="38" t="inlineStr">
        <is>
          <t>https://gaana.com/song/bhor_bhai</t>
        </is>
      </c>
      <c r="T8" s="38" t="inlineStr">
        <is>
          <t>https://instagram.com/reels/audio/bhor_bhai</t>
        </is>
      </c>
      <c r="U8" s="39" t="inlineStr">
        <is>
          <t>Navratri festive devotional favorite</t>
        </is>
      </c>
    </row>
    <row r="9" ht="20" customHeight="1">
      <c r="A9" s="40">
        <f>IF(D9&lt;&gt;"",ROW()-3,"")</f>
        <v/>
      </c>
      <c r="B9" s="41">
        <f>IF(D9&lt;&gt;"", "Geet MP3 Devotional", "")</f>
        <v/>
      </c>
      <c r="C9" s="42" t="n"/>
      <c r="D9" s="41" t="n"/>
      <c r="E9" s="41" t="n"/>
      <c r="F9" s="40" t="n"/>
      <c r="G9" s="41" t="n"/>
      <c r="H9" s="41" t="n"/>
      <c r="I9" s="41" t="n"/>
      <c r="J9" s="41" t="n"/>
      <c r="K9" s="41" t="n"/>
      <c r="L9" s="40" t="n"/>
      <c r="M9" s="46" t="n"/>
      <c r="N9" s="40" t="n"/>
      <c r="O9" s="41" t="n"/>
      <c r="P9" s="41" t="n"/>
      <c r="Q9" s="41" t="n"/>
      <c r="R9" s="41" t="n"/>
      <c r="S9" s="41" t="n"/>
      <c r="T9" s="41" t="n"/>
      <c r="U9" s="45" t="n"/>
    </row>
    <row r="10" ht="20" customHeight="1">
      <c r="A10" s="34">
        <f>IF(D10&lt;&gt;"",ROW()-3,"")</f>
        <v/>
      </c>
      <c r="B10" s="35">
        <f>IF(D10&lt;&gt;"", "Geet MP3 Devotional", "")</f>
        <v/>
      </c>
      <c r="C10" s="36" t="n"/>
      <c r="D10" s="35" t="n"/>
      <c r="E10" s="35" t="n"/>
      <c r="F10" s="34" t="n"/>
      <c r="G10" s="35" t="n"/>
      <c r="H10" s="35" t="n"/>
      <c r="I10" s="35" t="n"/>
      <c r="J10" s="35" t="n"/>
      <c r="K10" s="35" t="n"/>
      <c r="L10" s="34" t="n"/>
      <c r="M10" s="47" t="n"/>
      <c r="N10" s="34" t="n"/>
      <c r="O10" s="35" t="n"/>
      <c r="P10" s="35" t="n"/>
      <c r="Q10" s="35" t="n"/>
      <c r="R10" s="35" t="n"/>
      <c r="S10" s="35" t="n"/>
      <c r="T10" s="35" t="n"/>
      <c r="U10" s="39" t="n"/>
    </row>
    <row r="11" ht="20" customHeight="1">
      <c r="A11" s="40">
        <f>IF(D11&lt;&gt;"",ROW()-3,"")</f>
        <v/>
      </c>
      <c r="B11" s="41">
        <f>IF(D11&lt;&gt;"", "Geet MP3 Devotional", "")</f>
        <v/>
      </c>
      <c r="C11" s="42" t="n"/>
      <c r="D11" s="41" t="n"/>
      <c r="E11" s="41" t="n"/>
      <c r="F11" s="40" t="n"/>
      <c r="G11" s="41" t="n"/>
      <c r="H11" s="41" t="n"/>
      <c r="I11" s="41" t="n"/>
      <c r="J11" s="41" t="n"/>
      <c r="K11" s="41" t="n"/>
      <c r="L11" s="40" t="n"/>
      <c r="M11" s="46" t="n"/>
      <c r="N11" s="40" t="n"/>
      <c r="O11" s="41" t="n"/>
      <c r="P11" s="41" t="n"/>
      <c r="Q11" s="41" t="n"/>
      <c r="R11" s="41" t="n"/>
      <c r="S11" s="41" t="n"/>
      <c r="T11" s="41" t="n"/>
      <c r="U11" s="45" t="n"/>
    </row>
    <row r="12" ht="20" customHeight="1">
      <c r="A12" s="34">
        <f>IF(D12&lt;&gt;"",ROW()-3,"")</f>
        <v/>
      </c>
      <c r="B12" s="35">
        <f>IF(D12&lt;&gt;"", "Geet MP3 Devotional", "")</f>
        <v/>
      </c>
      <c r="C12" s="36" t="n"/>
      <c r="D12" s="35" t="n"/>
      <c r="E12" s="35" t="n"/>
      <c r="F12" s="34" t="n"/>
      <c r="G12" s="35" t="n"/>
      <c r="H12" s="35" t="n"/>
      <c r="I12" s="35" t="n"/>
      <c r="J12" s="35" t="n"/>
      <c r="K12" s="35" t="n"/>
      <c r="L12" s="34" t="n"/>
      <c r="M12" s="47" t="n"/>
      <c r="N12" s="34" t="n"/>
      <c r="O12" s="35" t="n"/>
      <c r="P12" s="35" t="n"/>
      <c r="Q12" s="35" t="n"/>
      <c r="R12" s="35" t="n"/>
      <c r="S12" s="35" t="n"/>
      <c r="T12" s="35" t="n"/>
      <c r="U12" s="39" t="n"/>
    </row>
    <row r="13" ht="20" customHeight="1">
      <c r="A13" s="40">
        <f>IF(D13&lt;&gt;"",ROW()-3,"")</f>
        <v/>
      </c>
      <c r="B13" s="41">
        <f>IF(D13&lt;&gt;"", "Geet MP3 Devotional", "")</f>
        <v/>
      </c>
      <c r="C13" s="42" t="n"/>
      <c r="D13" s="41" t="n"/>
      <c r="E13" s="41" t="n"/>
      <c r="F13" s="40" t="n"/>
      <c r="G13" s="41" t="n"/>
      <c r="H13" s="41" t="n"/>
      <c r="I13" s="41" t="n"/>
      <c r="J13" s="41" t="n"/>
      <c r="K13" s="41" t="n"/>
      <c r="L13" s="40" t="n"/>
      <c r="M13" s="46" t="n"/>
      <c r="N13" s="40" t="n"/>
      <c r="O13" s="41" t="n"/>
      <c r="P13" s="41" t="n"/>
      <c r="Q13" s="41" t="n"/>
      <c r="R13" s="41" t="n"/>
      <c r="S13" s="41" t="n"/>
      <c r="T13" s="41" t="n"/>
      <c r="U13" s="45" t="n"/>
    </row>
    <row r="14" ht="20" customHeight="1">
      <c r="A14" s="34">
        <f>IF(D14&lt;&gt;"",ROW()-3,"")</f>
        <v/>
      </c>
      <c r="B14" s="35">
        <f>IF(D14&lt;&gt;"", "Geet MP3 Devotional", "")</f>
        <v/>
      </c>
      <c r="C14" s="36" t="n"/>
      <c r="D14" s="35" t="n"/>
      <c r="E14" s="35" t="n"/>
      <c r="F14" s="34" t="n"/>
      <c r="G14" s="35" t="n"/>
      <c r="H14" s="35" t="n"/>
      <c r="I14" s="35" t="n"/>
      <c r="J14" s="35" t="n"/>
      <c r="K14" s="35" t="n"/>
      <c r="L14" s="34" t="n"/>
      <c r="M14" s="47" t="n"/>
      <c r="N14" s="34" t="n"/>
      <c r="O14" s="35" t="n"/>
      <c r="P14" s="35" t="n"/>
      <c r="Q14" s="35" t="n"/>
      <c r="R14" s="35" t="n"/>
      <c r="S14" s="35" t="n"/>
      <c r="T14" s="35" t="n"/>
      <c r="U14" s="39" t="n"/>
    </row>
    <row r="15" ht="20" customHeight="1">
      <c r="A15" s="40">
        <f>IF(D15&lt;&gt;"",ROW()-3,"")</f>
        <v/>
      </c>
      <c r="B15" s="41">
        <f>IF(D15&lt;&gt;"", "Geet MP3 Devotional", "")</f>
        <v/>
      </c>
      <c r="C15" s="42" t="n"/>
      <c r="D15" s="41" t="n"/>
      <c r="E15" s="41" t="n"/>
      <c r="F15" s="40" t="n"/>
      <c r="G15" s="41" t="n"/>
      <c r="H15" s="41" t="n"/>
      <c r="I15" s="41" t="n"/>
      <c r="J15" s="41" t="n"/>
      <c r="K15" s="41" t="n"/>
      <c r="L15" s="40" t="n"/>
      <c r="M15" s="46" t="n"/>
      <c r="N15" s="40" t="n"/>
      <c r="O15" s="41" t="n"/>
      <c r="P15" s="41" t="n"/>
      <c r="Q15" s="41" t="n"/>
      <c r="R15" s="41" t="n"/>
      <c r="S15" s="41" t="n"/>
      <c r="T15" s="41" t="n"/>
      <c r="U15" s="45" t="n"/>
    </row>
    <row r="16" ht="20" customHeight="1">
      <c r="A16" s="34">
        <f>IF(D16&lt;&gt;"",ROW()-3,"")</f>
        <v/>
      </c>
      <c r="B16" s="35">
        <f>IF(D16&lt;&gt;"", "Geet MP3 Devotional", "")</f>
        <v/>
      </c>
      <c r="C16" s="36" t="n"/>
      <c r="D16" s="35" t="n"/>
      <c r="E16" s="35" t="n"/>
      <c r="F16" s="34" t="n"/>
      <c r="G16" s="35" t="n"/>
      <c r="H16" s="35" t="n"/>
      <c r="I16" s="35" t="n"/>
      <c r="J16" s="35" t="n"/>
      <c r="K16" s="35" t="n"/>
      <c r="L16" s="34" t="n"/>
      <c r="M16" s="47" t="n"/>
      <c r="N16" s="34" t="n"/>
      <c r="O16" s="35" t="n"/>
      <c r="P16" s="35" t="n"/>
      <c r="Q16" s="35" t="n"/>
      <c r="R16" s="35" t="n"/>
      <c r="S16" s="35" t="n"/>
      <c r="T16" s="35" t="n"/>
      <c r="U16" s="39" t="n"/>
    </row>
    <row r="17" ht="20" customHeight="1">
      <c r="A17" s="40">
        <f>IF(D17&lt;&gt;"",ROW()-3,"")</f>
        <v/>
      </c>
      <c r="B17" s="41">
        <f>IF(D17&lt;&gt;"", "Geet MP3 Devotional", "")</f>
        <v/>
      </c>
      <c r="C17" s="42" t="n"/>
      <c r="D17" s="41" t="n"/>
      <c r="E17" s="41" t="n"/>
      <c r="F17" s="40" t="n"/>
      <c r="G17" s="41" t="n"/>
      <c r="H17" s="41" t="n"/>
      <c r="I17" s="41" t="n"/>
      <c r="J17" s="41" t="n"/>
      <c r="K17" s="41" t="n"/>
      <c r="L17" s="40" t="n"/>
      <c r="M17" s="46" t="n"/>
      <c r="N17" s="40" t="n"/>
      <c r="O17" s="41" t="n"/>
      <c r="P17" s="41" t="n"/>
      <c r="Q17" s="41" t="n"/>
      <c r="R17" s="41" t="n"/>
      <c r="S17" s="41" t="n"/>
      <c r="T17" s="41" t="n"/>
      <c r="U17" s="45" t="n"/>
    </row>
    <row r="18" ht="20" customHeight="1">
      <c r="A18" s="34">
        <f>IF(D18&lt;&gt;"",ROW()-3,"")</f>
        <v/>
      </c>
      <c r="B18" s="35">
        <f>IF(D18&lt;&gt;"", "Geet MP3 Devotional", "")</f>
        <v/>
      </c>
      <c r="C18" s="36" t="n"/>
      <c r="D18" s="35" t="n"/>
      <c r="E18" s="35" t="n"/>
      <c r="F18" s="34" t="n"/>
      <c r="G18" s="35" t="n"/>
      <c r="H18" s="35" t="n"/>
      <c r="I18" s="35" t="n"/>
      <c r="J18" s="35" t="n"/>
      <c r="K18" s="35" t="n"/>
      <c r="L18" s="34" t="n"/>
      <c r="M18" s="47" t="n"/>
      <c r="N18" s="34" t="n"/>
      <c r="O18" s="35" t="n"/>
      <c r="P18" s="35" t="n"/>
      <c r="Q18" s="35" t="n"/>
      <c r="R18" s="35" t="n"/>
      <c r="S18" s="35" t="n"/>
      <c r="T18" s="35" t="n"/>
      <c r="U18" s="39" t="n"/>
    </row>
    <row r="19" ht="20" customHeight="1">
      <c r="A19" s="40">
        <f>IF(D19&lt;&gt;"",ROW()-3,"")</f>
        <v/>
      </c>
      <c r="B19" s="41">
        <f>IF(D19&lt;&gt;"", "Geet MP3 Devotional", "")</f>
        <v/>
      </c>
      <c r="C19" s="42" t="n"/>
      <c r="D19" s="41" t="n"/>
      <c r="E19" s="41" t="n"/>
      <c r="F19" s="40" t="n"/>
      <c r="G19" s="41" t="n"/>
      <c r="H19" s="41" t="n"/>
      <c r="I19" s="41" t="n"/>
      <c r="J19" s="41" t="n"/>
      <c r="K19" s="41" t="n"/>
      <c r="L19" s="40" t="n"/>
      <c r="M19" s="46" t="n"/>
      <c r="N19" s="40" t="n"/>
      <c r="O19" s="41" t="n"/>
      <c r="P19" s="41" t="n"/>
      <c r="Q19" s="41" t="n"/>
      <c r="R19" s="41" t="n"/>
      <c r="S19" s="41" t="n"/>
      <c r="T19" s="41" t="n"/>
      <c r="U19" s="45" t="n"/>
    </row>
    <row r="20" ht="20" customHeight="1">
      <c r="A20" s="34">
        <f>IF(D20&lt;&gt;"",ROW()-3,"")</f>
        <v/>
      </c>
      <c r="B20" s="35">
        <f>IF(D20&lt;&gt;"", "Geet MP3 Devotional", "")</f>
        <v/>
      </c>
      <c r="C20" s="36" t="n"/>
      <c r="D20" s="35" t="n"/>
      <c r="E20" s="35" t="n"/>
      <c r="F20" s="34" t="n"/>
      <c r="G20" s="35" t="n"/>
      <c r="H20" s="35" t="n"/>
      <c r="I20" s="35" t="n"/>
      <c r="J20" s="35" t="n"/>
      <c r="K20" s="35" t="n"/>
      <c r="L20" s="34" t="n"/>
      <c r="M20" s="47" t="n"/>
      <c r="N20" s="34" t="n"/>
      <c r="O20" s="35" t="n"/>
      <c r="P20" s="35" t="n"/>
      <c r="Q20" s="35" t="n"/>
      <c r="R20" s="35" t="n"/>
      <c r="S20" s="35" t="n"/>
      <c r="T20" s="35" t="n"/>
      <c r="U20" s="39" t="n"/>
    </row>
    <row r="21" ht="20" customHeight="1">
      <c r="A21" s="40">
        <f>IF(D21&lt;&gt;"",ROW()-3,"")</f>
        <v/>
      </c>
      <c r="B21" s="41">
        <f>IF(D21&lt;&gt;"", "Geet MP3 Devotional", "")</f>
        <v/>
      </c>
      <c r="C21" s="42" t="n"/>
      <c r="D21" s="41" t="n"/>
      <c r="E21" s="41" t="n"/>
      <c r="F21" s="40" t="n"/>
      <c r="G21" s="41" t="n"/>
      <c r="H21" s="41" t="n"/>
      <c r="I21" s="41" t="n"/>
      <c r="J21" s="41" t="n"/>
      <c r="K21" s="41" t="n"/>
      <c r="L21" s="40" t="n"/>
      <c r="M21" s="46" t="n"/>
      <c r="N21" s="40" t="n"/>
      <c r="O21" s="41" t="n"/>
      <c r="P21" s="41" t="n"/>
      <c r="Q21" s="41" t="n"/>
      <c r="R21" s="41" t="n"/>
      <c r="S21" s="41" t="n"/>
      <c r="T21" s="41" t="n"/>
      <c r="U21" s="45" t="n"/>
    </row>
    <row r="22" ht="20" customHeight="1">
      <c r="A22" s="34">
        <f>IF(D22&lt;&gt;"",ROW()-3,"")</f>
        <v/>
      </c>
      <c r="B22" s="35">
        <f>IF(D22&lt;&gt;"", "Geet MP3 Devotional", "")</f>
        <v/>
      </c>
      <c r="C22" s="36" t="n"/>
      <c r="D22" s="35" t="n"/>
      <c r="E22" s="35" t="n"/>
      <c r="F22" s="34" t="n"/>
      <c r="G22" s="35" t="n"/>
      <c r="H22" s="35" t="n"/>
      <c r="I22" s="35" t="n"/>
      <c r="J22" s="35" t="n"/>
      <c r="K22" s="35" t="n"/>
      <c r="L22" s="34" t="n"/>
      <c r="M22" s="47" t="n"/>
      <c r="N22" s="34" t="n"/>
      <c r="O22" s="35" t="n"/>
      <c r="P22" s="35" t="n"/>
      <c r="Q22" s="35" t="n"/>
      <c r="R22" s="35" t="n"/>
      <c r="S22" s="35" t="n"/>
      <c r="T22" s="35" t="n"/>
      <c r="U22" s="39" t="n"/>
    </row>
    <row r="23" ht="20" customHeight="1">
      <c r="A23" s="40">
        <f>IF(D23&lt;&gt;"",ROW()-3,"")</f>
        <v/>
      </c>
      <c r="B23" s="41">
        <f>IF(D23&lt;&gt;"", "Geet MP3 Devotional", "")</f>
        <v/>
      </c>
      <c r="C23" s="42" t="n"/>
      <c r="D23" s="41" t="n"/>
      <c r="E23" s="41" t="n"/>
      <c r="F23" s="40" t="n"/>
      <c r="G23" s="41" t="n"/>
      <c r="H23" s="41" t="n"/>
      <c r="I23" s="41" t="n"/>
      <c r="J23" s="41" t="n"/>
      <c r="K23" s="41" t="n"/>
      <c r="L23" s="40" t="n"/>
      <c r="M23" s="46" t="n"/>
      <c r="N23" s="40" t="n"/>
      <c r="O23" s="41" t="n"/>
      <c r="P23" s="41" t="n"/>
      <c r="Q23" s="41" t="n"/>
      <c r="R23" s="41" t="n"/>
      <c r="S23" s="41" t="n"/>
      <c r="T23" s="41" t="n"/>
      <c r="U23" s="45" t="n"/>
    </row>
    <row r="24" ht="20" customHeight="1">
      <c r="A24" s="34">
        <f>IF(D24&lt;&gt;"",ROW()-3,"")</f>
        <v/>
      </c>
      <c r="B24" s="35">
        <f>IF(D24&lt;&gt;"", "Geet MP3 Devotional", "")</f>
        <v/>
      </c>
      <c r="C24" s="36" t="n"/>
      <c r="D24" s="35" t="n"/>
      <c r="E24" s="35" t="n"/>
      <c r="F24" s="34" t="n"/>
      <c r="G24" s="35" t="n"/>
      <c r="H24" s="35" t="n"/>
      <c r="I24" s="35" t="n"/>
      <c r="J24" s="35" t="n"/>
      <c r="K24" s="35" t="n"/>
      <c r="L24" s="34" t="n"/>
      <c r="M24" s="47" t="n"/>
      <c r="N24" s="34" t="n"/>
      <c r="O24" s="35" t="n"/>
      <c r="P24" s="35" t="n"/>
      <c r="Q24" s="35" t="n"/>
      <c r="R24" s="35" t="n"/>
      <c r="S24" s="35" t="n"/>
      <c r="T24" s="35" t="n"/>
      <c r="U24" s="39" t="n"/>
    </row>
    <row r="25" ht="20" customHeight="1">
      <c r="A25" s="40">
        <f>IF(D25&lt;&gt;"",ROW()-3,"")</f>
        <v/>
      </c>
      <c r="B25" s="41">
        <f>IF(D25&lt;&gt;"", "Geet MP3 Devotional", "")</f>
        <v/>
      </c>
      <c r="C25" s="42" t="n"/>
      <c r="D25" s="41" t="n"/>
      <c r="E25" s="41" t="n"/>
      <c r="F25" s="40" t="n"/>
      <c r="G25" s="41" t="n"/>
      <c r="H25" s="41" t="n"/>
      <c r="I25" s="41" t="n"/>
      <c r="J25" s="41" t="n"/>
      <c r="K25" s="41" t="n"/>
      <c r="L25" s="40" t="n"/>
      <c r="M25" s="46" t="n"/>
      <c r="N25" s="40" t="n"/>
      <c r="O25" s="41" t="n"/>
      <c r="P25" s="41" t="n"/>
      <c r="Q25" s="41" t="n"/>
      <c r="R25" s="41" t="n"/>
      <c r="S25" s="41" t="n"/>
      <c r="T25" s="41" t="n"/>
      <c r="U25" s="45" t="n"/>
    </row>
    <row r="26" ht="20" customHeight="1">
      <c r="A26" s="34">
        <f>IF(D26&lt;&gt;"",ROW()-3,"")</f>
        <v/>
      </c>
      <c r="B26" s="35">
        <f>IF(D26&lt;&gt;"", "Geet MP3 Devotional", "")</f>
        <v/>
      </c>
      <c r="C26" s="36" t="n"/>
      <c r="D26" s="35" t="n"/>
      <c r="E26" s="35" t="n"/>
      <c r="F26" s="34" t="n"/>
      <c r="G26" s="35" t="n"/>
      <c r="H26" s="35" t="n"/>
      <c r="I26" s="35" t="n"/>
      <c r="J26" s="35" t="n"/>
      <c r="K26" s="35" t="n"/>
      <c r="L26" s="34" t="n"/>
      <c r="M26" s="47" t="n"/>
      <c r="N26" s="34" t="n"/>
      <c r="O26" s="35" t="n"/>
      <c r="P26" s="35" t="n"/>
      <c r="Q26" s="35" t="n"/>
      <c r="R26" s="35" t="n"/>
      <c r="S26" s="35" t="n"/>
      <c r="T26" s="35" t="n"/>
      <c r="U26" s="39" t="n"/>
    </row>
    <row r="27" ht="20" customHeight="1">
      <c r="A27" s="40">
        <f>IF(D27&lt;&gt;"",ROW()-3,"")</f>
        <v/>
      </c>
      <c r="B27" s="41">
        <f>IF(D27&lt;&gt;"", "Geet MP3 Devotional", "")</f>
        <v/>
      </c>
      <c r="C27" s="42" t="n"/>
      <c r="D27" s="41" t="n"/>
      <c r="E27" s="41" t="n"/>
      <c r="F27" s="40" t="n"/>
      <c r="G27" s="41" t="n"/>
      <c r="H27" s="41" t="n"/>
      <c r="I27" s="41" t="n"/>
      <c r="J27" s="41" t="n"/>
      <c r="K27" s="41" t="n"/>
      <c r="L27" s="40" t="n"/>
      <c r="M27" s="46" t="n"/>
      <c r="N27" s="40" t="n"/>
      <c r="O27" s="41" t="n"/>
      <c r="P27" s="41" t="n"/>
      <c r="Q27" s="41" t="n"/>
      <c r="R27" s="41" t="n"/>
      <c r="S27" s="41" t="n"/>
      <c r="T27" s="41" t="n"/>
      <c r="U27" s="45" t="n"/>
    </row>
    <row r="28" ht="20" customHeight="1">
      <c r="A28" s="34">
        <f>IF(D28&lt;&gt;"",ROW()-3,"")</f>
        <v/>
      </c>
      <c r="B28" s="35">
        <f>IF(D28&lt;&gt;"", "Geet MP3 Devotional", "")</f>
        <v/>
      </c>
      <c r="C28" s="36" t="n"/>
      <c r="D28" s="35" t="n"/>
      <c r="E28" s="35" t="n"/>
      <c r="F28" s="34" t="n"/>
      <c r="G28" s="35" t="n"/>
      <c r="H28" s="35" t="n"/>
      <c r="I28" s="35" t="n"/>
      <c r="J28" s="35" t="n"/>
      <c r="K28" s="35" t="n"/>
      <c r="L28" s="34" t="n"/>
      <c r="M28" s="47" t="n"/>
      <c r="N28" s="34" t="n"/>
      <c r="O28" s="35" t="n"/>
      <c r="P28" s="35" t="n"/>
      <c r="Q28" s="35" t="n"/>
      <c r="R28" s="35" t="n"/>
      <c r="S28" s="35" t="n"/>
      <c r="T28" s="35" t="n"/>
      <c r="U28" s="39" t="n"/>
    </row>
    <row r="29" ht="20" customHeight="1">
      <c r="A29" s="40">
        <f>IF(D29&lt;&gt;"",ROW()-3,"")</f>
        <v/>
      </c>
      <c r="B29" s="41">
        <f>IF(D29&lt;&gt;"", "Geet MP3 Devotional", "")</f>
        <v/>
      </c>
      <c r="C29" s="42" t="n"/>
      <c r="D29" s="41" t="n"/>
      <c r="E29" s="41" t="n"/>
      <c r="F29" s="40" t="n"/>
      <c r="G29" s="41" t="n"/>
      <c r="H29" s="41" t="n"/>
      <c r="I29" s="41" t="n"/>
      <c r="J29" s="41" t="n"/>
      <c r="K29" s="41" t="n"/>
      <c r="L29" s="40" t="n"/>
      <c r="M29" s="46" t="n"/>
      <c r="N29" s="40" t="n"/>
      <c r="O29" s="41" t="n"/>
      <c r="P29" s="41" t="n"/>
      <c r="Q29" s="41" t="n"/>
      <c r="R29" s="41" t="n"/>
      <c r="S29" s="41" t="n"/>
      <c r="T29" s="41" t="n"/>
      <c r="U29" s="45" t="n"/>
    </row>
    <row r="30" ht="20" customHeight="1">
      <c r="A30" s="34">
        <f>IF(D30&lt;&gt;"",ROW()-3,"")</f>
        <v/>
      </c>
      <c r="B30" s="35">
        <f>IF(D30&lt;&gt;"", "Geet MP3 Devotional", "")</f>
        <v/>
      </c>
      <c r="C30" s="36" t="n"/>
      <c r="D30" s="35" t="n"/>
      <c r="E30" s="35" t="n"/>
      <c r="F30" s="34" t="n"/>
      <c r="G30" s="35" t="n"/>
      <c r="H30" s="35" t="n"/>
      <c r="I30" s="35" t="n"/>
      <c r="J30" s="35" t="n"/>
      <c r="K30" s="35" t="n"/>
      <c r="L30" s="34" t="n"/>
      <c r="M30" s="47" t="n"/>
      <c r="N30" s="34" t="n"/>
      <c r="O30" s="35" t="n"/>
      <c r="P30" s="35" t="n"/>
      <c r="Q30" s="35" t="n"/>
      <c r="R30" s="35" t="n"/>
      <c r="S30" s="35" t="n"/>
      <c r="T30" s="35" t="n"/>
      <c r="U30" s="39" t="n"/>
    </row>
  </sheetData>
  <autoFilter ref="A3:U30"/>
  <mergeCells count="3">
    <mergeCell ref="R1:U1"/>
    <mergeCell ref="A1:Q1"/>
    <mergeCell ref="A2:U2"/>
  </mergeCells>
  <dataValidations count="2">
    <dataValidation sqref="F4:F5000" showDropDown="0" showInputMessage="0" showErrorMessage="0" allowBlank="1" errorTitle="Invalid Release Type" error="Please select a valid Release Type (Single, Album, Movie, EP, Other)." promptTitle="Release Type" prompt="Choose release type from dropdown" type="list">
      <formula1>"Single,Album,Movie,EP,Other"</formula1>
    </dataValidation>
    <dataValidation sqref="L4:L5000" showDropDown="0" showInputMessage="0" showErrorMessage="0" allowBlank="1" errorTitle="Invalid Language" error="Please choose a valid language from the list." promptTitle="Language" prompt="Select language from dropdown" type="list">
      <formula1>"Punjabi,Haryanvi,Hindi,Devotional / Sanskrit,Rajasthani,Other"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2026-10-13T09:38:46Z</dcterms:created>
  <dcterms:modified xmlns:dcterms="http://purl.org/dc/terms/" xmlns:xsi="http://www.w3.org/2001/XMLSchema-instance" xsi:type="dcterms:W3CDTF">2026-10-13T09:38:46Z</dcterms:modified>
</cp:coreProperties>
</file>